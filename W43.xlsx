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17977042-D678-4BE3-96CD-2DD0B9D52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" i="1"/>
  <c r="N1" i="1" s="1"/>
  <c r="S1" i="1" s="1"/>
  <c r="X1" i="1" s="1"/>
  <c r="AC1" i="1" s="1"/>
  <c r="AH1" i="1" s="1"/>
</calcChain>
</file>

<file path=xl/sharedStrings.xml><?xml version="1.0" encoding="utf-8"?>
<sst xmlns="http://schemas.openxmlformats.org/spreadsheetml/2006/main" count="77" uniqueCount="37">
  <si>
    <t>SIRA</t>
  </si>
  <si>
    <t>İSİM -SOYİSİM</t>
  </si>
  <si>
    <t>POZİSYON</t>
  </si>
  <si>
    <t>TOPLAM</t>
  </si>
  <si>
    <t>İMZA</t>
  </si>
  <si>
    <t>GİRİŞ SAATİ</t>
  </si>
  <si>
    <t>ÇIKIŞ SAATİ</t>
  </si>
  <si>
    <t>BRÜT ÇALIŞMA SAATİ</t>
  </si>
  <si>
    <t>MOLA SAATİ</t>
  </si>
  <si>
    <t>NET ÇALIŞMA SAATİ</t>
  </si>
  <si>
    <t>TOPLAM NET ÇALIŞMA</t>
  </si>
  <si>
    <t>TOPLAM MESAİ</t>
  </si>
  <si>
    <t>MUSTAFA BERAT DAĞITMAÇ</t>
  </si>
  <si>
    <t>SM</t>
  </si>
  <si>
    <t>SİNEM PALAZ</t>
  </si>
  <si>
    <t>SV</t>
  </si>
  <si>
    <t>SERKAN CANİK</t>
  </si>
  <si>
    <t>SD</t>
  </si>
  <si>
    <t>CEM AKTAŞ</t>
  </si>
  <si>
    <t>MERVE ÇETİN</t>
  </si>
  <si>
    <t>ECE NUR TEMÜR</t>
  </si>
  <si>
    <t>DEVREDEN MESAİ SAATİ</t>
  </si>
  <si>
    <t>İLGİLİ HAFTA FAZLA MESAİ</t>
  </si>
  <si>
    <t>İLGİLİ HAFTA MESAİ KULLANIM</t>
  </si>
  <si>
    <t>KALAN MESAİ</t>
  </si>
  <si>
    <t>SHİFT İLE ALAKALI KURALLAR</t>
  </si>
  <si>
    <t>Çalışma programı  tüm mağaza çalışanları tarafından imzalanacaktır.</t>
  </si>
  <si>
    <t xml:space="preserve">SİNEM PALAZ </t>
  </si>
  <si>
    <t>İmzalı shiftler mağazada dosyalanacak. (Arşiv)</t>
  </si>
  <si>
    <t>Açılış ve kapanış ekip sayıları mağazanın toplam kadrosuna göre belirlenecektir. Detaylar prosedürde yazan şekilde ilerleyecektir.</t>
  </si>
  <si>
    <t>Cumartesi ve Pazar günleri standart uygulamada personel izni planlanmayacaktır.</t>
  </si>
  <si>
    <t>Çalışma ve mola süreleri yürürlükteki yasal düzenlemelere uygun olarak planlanacaktır. (Sayfa Mola Saatleri)</t>
  </si>
  <si>
    <t>Şirket tarafından önceliklendirilen 12.00 – 21.00 saatleri arasındaki shiftin mümkün olan en yüksek ekip sayısı ile desteklenmesi esastır.</t>
  </si>
  <si>
    <t>Shiftlerin altına fazla mesai tablosu tutulacak. (Fazla mesailer shift altında kayıtlı tutulacak)</t>
  </si>
  <si>
    <t>Shiftlere bağlı kalınacak, değişiklikler Bölge Yöneticileri ONAYI ile gerçekleşecek.</t>
  </si>
  <si>
    <t>Shiftler en geç Cuma saat 16:00'a kadar Bölge Yöneticilerine mail atılacak. Onaylanan shifter IK ekibine iletilecektir.</t>
  </si>
  <si>
    <t>Mağaza yöneticileri, shift planlarının bu prosedüre uygun hazırlanmasından sorumludur.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</si>
</sst>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9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b/>
      <sz val="18"/>
      <color indexed="8"/>
      <name val="Calibri"/>
      <family val="2"/>
      <charset val="162"/>
    </font>
    <font>
      <sz val="11"/>
      <color indexed="8"/>
      <name val="Symbol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4" fontId="1" fillId="0" borderId="4" xfId="0" applyNumberFormat="1" applyFont="1" applyBorder="1" applyAlignment="1" applyProtection="1">
      <alignment horizontal="center" vertical="center"/>
      <protection locked="0"/>
    </xf>
    <xf numFmtId="164" fontId="1" fillId="0" borderId="5" xfId="0" applyNumberFormat="1" applyFont="1" applyBorder="1" applyAlignment="1" applyProtection="1">
      <alignment horizontal="center" vertical="center"/>
      <protection locked="0"/>
    </xf>
    <xf numFmtId="14" fontId="1" fillId="0" borderId="6" xfId="0" applyNumberFormat="1" applyFont="1" applyBorder="1" applyAlignment="1" applyProtection="1">
      <alignment horizontal="center" vertical="center"/>
      <protection hidden="1"/>
    </xf>
    <xf numFmtId="14" fontId="1" fillId="0" borderId="7" xfId="0" applyNumberFormat="1" applyFont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4" fontId="3" fillId="0" borderId="0" xfId="0" applyNumberFormat="1" applyFont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2" fillId="2" borderId="1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5" borderId="17" xfId="0" applyNumberFormat="1" applyFont="1" applyFill="1" applyBorder="1" applyAlignment="1" applyProtection="1">
      <alignment horizontal="center" vertical="center"/>
      <protection hidden="1"/>
    </xf>
    <xf numFmtId="165" fontId="6" fillId="6" borderId="17" xfId="0" applyNumberFormat="1" applyFont="1" applyFill="1" applyBorder="1" applyAlignment="1" applyProtection="1">
      <alignment horizontal="center" vertical="center"/>
      <protection hidden="1"/>
    </xf>
    <xf numFmtId="165" fontId="6" fillId="7" borderId="18" xfId="0" applyNumberFormat="1" applyFont="1" applyFill="1" applyBorder="1" applyAlignment="1" applyProtection="1">
      <alignment horizontal="center" vertical="center"/>
      <protection hidden="1"/>
    </xf>
    <xf numFmtId="46" fontId="1" fillId="8" borderId="16" xfId="0" applyNumberFormat="1" applyFont="1" applyFill="1" applyBorder="1" applyAlignment="1" applyProtection="1">
      <alignment horizontal="center" vertical="center"/>
      <protection hidden="1"/>
    </xf>
    <xf numFmtId="46" fontId="1" fillId="9" borderId="18" xfId="0" applyNumberFormat="1" applyFont="1" applyFill="1" applyBorder="1" applyAlignment="1" applyProtection="1">
      <alignment horizontal="center" vertical="center"/>
      <protection hidden="1"/>
    </xf>
    <xf numFmtId="46" fontId="1" fillId="4" borderId="18" xfId="0" applyNumberFormat="1" applyFont="1" applyFill="1" applyBorder="1" applyAlignment="1" applyProtection="1">
      <alignment horizontal="center" vertical="center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 applyProtection="1">
      <alignment horizontal="center" vertical="center" wrapText="1"/>
      <protection hidden="1"/>
    </xf>
    <xf numFmtId="0" fontId="6" fillId="2" borderId="5" xfId="0" applyFont="1" applyFill="1" applyBorder="1" applyAlignment="1" applyProtection="1">
      <alignment horizontal="center" vertical="center" wrapText="1"/>
      <protection hidden="1"/>
    </xf>
    <xf numFmtId="0" fontId="7" fillId="2" borderId="6" xfId="0" applyFont="1" applyFill="1" applyBorder="1" applyAlignment="1" applyProtection="1">
      <alignment horizontal="center" vertical="center" wrapText="1"/>
      <protection hidden="1"/>
    </xf>
    <xf numFmtId="0" fontId="7" fillId="2" borderId="19" xfId="0" applyFont="1" applyFill="1" applyBorder="1" applyAlignment="1" applyProtection="1">
      <alignment horizontal="center" vertical="center" wrapText="1"/>
      <protection hidden="1"/>
    </xf>
    <xf numFmtId="0" fontId="7" fillId="2" borderId="7" xfId="0" applyFont="1" applyFill="1" applyBorder="1" applyAlignment="1" applyProtection="1">
      <alignment horizontal="center" vertical="center" wrapText="1"/>
      <protection hidden="1"/>
    </xf>
    <xf numFmtId="0" fontId="1" fillId="3" borderId="12" xfId="0" applyFont="1" applyFill="1" applyBorder="1" applyAlignment="1" applyProtection="1">
      <alignment horizontal="center" vertical="center" wrapText="1"/>
      <protection locked="0"/>
    </xf>
    <xf numFmtId="1" fontId="4" fillId="4" borderId="12" xfId="0" applyNumberFormat="1" applyFont="1" applyFill="1" applyBorder="1" applyAlignment="1" applyProtection="1">
      <alignment horizontal="center" vertical="center" wrapText="1"/>
      <protection locked="0"/>
    </xf>
    <xf numFmtId="1" fontId="4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left" vertical="center"/>
      <protection hidden="1"/>
    </xf>
    <xf numFmtId="0" fontId="6" fillId="0" borderId="13" xfId="0" applyFont="1" applyBorder="1" applyAlignment="1" applyProtection="1">
      <alignment horizontal="left" vertical="center"/>
      <protection hidden="1"/>
    </xf>
    <xf numFmtId="0" fontId="1" fillId="3" borderId="17" xfId="0" applyFont="1" applyFill="1" applyBorder="1" applyAlignment="1" applyProtection="1">
      <alignment horizontal="center" vertical="center" wrapText="1"/>
      <protection locked="0"/>
    </xf>
    <xf numFmtId="1" fontId="4" fillId="4" borderId="17" xfId="0" applyNumberFormat="1" applyFont="1" applyFill="1" applyBorder="1" applyAlignment="1" applyProtection="1">
      <alignment horizontal="center" vertical="center" wrapText="1"/>
      <protection locked="0"/>
    </xf>
    <xf numFmtId="1" fontId="4" fillId="4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7" xfId="0" applyFont="1" applyBorder="1" applyAlignment="1" applyProtection="1">
      <alignment horizontal="left" vertical="center"/>
      <protection hidden="1"/>
    </xf>
    <xf numFmtId="0" fontId="6" fillId="0" borderId="18" xfId="0" applyFont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8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"/>
  <sheetViews>
    <sheetView tabSelected="1" zoomScale="55" zoomScaleNormal="55" workbookViewId="0">
      <selection activeCell="I7" sqref="I7"/>
    </sheetView>
  </sheetViews>
  <sheetFormatPr defaultColWidth="9.109375" defaultRowHeight="14.4" x14ac:dyDescent="0.3"/>
  <cols>
    <col min="1" max="1" width="8.44140625" style="20" bestFit="1" customWidth="1"/>
    <col min="2" max="2" width="40.109375" style="20" customWidth="1"/>
    <col min="3" max="3" width="14.5546875" style="20" bestFit="1" customWidth="1"/>
    <col min="4" max="4" width="11.21875" style="20" bestFit="1" customWidth="1"/>
    <col min="5" max="5" width="11.21875" style="20" customWidth="1"/>
    <col min="6" max="7" width="11.21875" style="20" bestFit="1" customWidth="1"/>
    <col min="8" max="8" width="11.21875" style="20" customWidth="1"/>
    <col min="9" max="10" width="11.21875" style="20" bestFit="1" customWidth="1"/>
    <col min="11" max="11" width="11.21875" style="20" customWidth="1"/>
    <col min="12" max="38" width="11.21875" style="20" bestFit="1" customWidth="1"/>
    <col min="39" max="40" width="20.77734375" style="20" customWidth="1"/>
    <col min="41" max="41" width="40.77734375" style="20" customWidth="1"/>
    <col min="42" max="16384" width="9.109375" style="20"/>
  </cols>
  <sheetData>
    <row r="1" spans="1:41" s="10" customFormat="1" ht="22.2" thickTop="1" thickBot="1" x14ac:dyDescent="0.35">
      <c r="A1" s="1" t="s">
        <v>0</v>
      </c>
      <c r="B1" s="2" t="s">
        <v>1</v>
      </c>
      <c r="C1" s="3" t="s">
        <v>2</v>
      </c>
      <c r="D1" s="4">
        <v>46314</v>
      </c>
      <c r="E1" s="5"/>
      <c r="F1" s="5"/>
      <c r="G1" s="5"/>
      <c r="H1" s="6"/>
      <c r="I1" s="4">
        <f>D1+1</f>
        <v>46315</v>
      </c>
      <c r="J1" s="5"/>
      <c r="K1" s="5"/>
      <c r="L1" s="5"/>
      <c r="M1" s="6"/>
      <c r="N1" s="4">
        <f>I1+1</f>
        <v>46316</v>
      </c>
      <c r="O1" s="5"/>
      <c r="P1" s="5"/>
      <c r="Q1" s="5"/>
      <c r="R1" s="6"/>
      <c r="S1" s="4">
        <f>N1+1</f>
        <v>46317</v>
      </c>
      <c r="T1" s="5"/>
      <c r="U1" s="5"/>
      <c r="V1" s="5"/>
      <c r="W1" s="6"/>
      <c r="X1" s="4">
        <f>S1+1</f>
        <v>46318</v>
      </c>
      <c r="Y1" s="5"/>
      <c r="Z1" s="5"/>
      <c r="AA1" s="5"/>
      <c r="AB1" s="6"/>
      <c r="AC1" s="4">
        <f>X1+1</f>
        <v>46319</v>
      </c>
      <c r="AD1" s="5"/>
      <c r="AE1" s="5"/>
      <c r="AF1" s="5"/>
      <c r="AG1" s="6"/>
      <c r="AH1" s="4">
        <f>AC1+1</f>
        <v>46320</v>
      </c>
      <c r="AI1" s="5"/>
      <c r="AJ1" s="5"/>
      <c r="AK1" s="5"/>
      <c r="AL1" s="6"/>
      <c r="AM1" s="7" t="s">
        <v>3</v>
      </c>
      <c r="AN1" s="8"/>
      <c r="AO1" s="9" t="s">
        <v>4</v>
      </c>
    </row>
    <row r="2" spans="1:41" ht="31.8" thickBot="1" x14ac:dyDescent="0.35">
      <c r="A2" s="11"/>
      <c r="B2" s="12"/>
      <c r="C2" s="13"/>
      <c r="D2" s="14" t="s">
        <v>5</v>
      </c>
      <c r="E2" s="15" t="s">
        <v>6</v>
      </c>
      <c r="F2" s="16" t="s">
        <v>7</v>
      </c>
      <c r="G2" s="16" t="s">
        <v>8</v>
      </c>
      <c r="H2" s="17" t="s">
        <v>9</v>
      </c>
      <c r="I2" s="14" t="s">
        <v>5</v>
      </c>
      <c r="J2" s="15" t="s">
        <v>6</v>
      </c>
      <c r="K2" s="16" t="s">
        <v>7</v>
      </c>
      <c r="L2" s="16" t="s">
        <v>8</v>
      </c>
      <c r="M2" s="17" t="s">
        <v>9</v>
      </c>
      <c r="N2" s="14" t="s">
        <v>5</v>
      </c>
      <c r="O2" s="15" t="s">
        <v>6</v>
      </c>
      <c r="P2" s="16" t="s">
        <v>7</v>
      </c>
      <c r="Q2" s="16" t="s">
        <v>8</v>
      </c>
      <c r="R2" s="17" t="s">
        <v>9</v>
      </c>
      <c r="S2" s="14" t="s">
        <v>5</v>
      </c>
      <c r="T2" s="15" t="s">
        <v>6</v>
      </c>
      <c r="U2" s="16" t="s">
        <v>7</v>
      </c>
      <c r="V2" s="16" t="s">
        <v>8</v>
      </c>
      <c r="W2" s="17" t="s">
        <v>9</v>
      </c>
      <c r="X2" s="14" t="s">
        <v>5</v>
      </c>
      <c r="Y2" s="15" t="s">
        <v>6</v>
      </c>
      <c r="Z2" s="16" t="s">
        <v>7</v>
      </c>
      <c r="AA2" s="16" t="s">
        <v>8</v>
      </c>
      <c r="AB2" s="17" t="s">
        <v>9</v>
      </c>
      <c r="AC2" s="14" t="s">
        <v>5</v>
      </c>
      <c r="AD2" s="15" t="s">
        <v>6</v>
      </c>
      <c r="AE2" s="16" t="s">
        <v>7</v>
      </c>
      <c r="AF2" s="16" t="s">
        <v>8</v>
      </c>
      <c r="AG2" s="17" t="s">
        <v>9</v>
      </c>
      <c r="AH2" s="14" t="s">
        <v>5</v>
      </c>
      <c r="AI2" s="15" t="s">
        <v>6</v>
      </c>
      <c r="AJ2" s="16" t="s">
        <v>7</v>
      </c>
      <c r="AK2" s="16" t="s">
        <v>8</v>
      </c>
      <c r="AL2" s="17" t="s">
        <v>9</v>
      </c>
      <c r="AM2" s="18" t="s">
        <v>10</v>
      </c>
      <c r="AN2" s="17" t="s">
        <v>11</v>
      </c>
      <c r="AO2" s="19"/>
    </row>
    <row r="3" spans="1:41" ht="49.2" customHeight="1" thickBot="1" x14ac:dyDescent="0.35">
      <c r="A3" s="21">
        <v>1</v>
      </c>
      <c r="B3" s="22" t="s">
        <v>12</v>
      </c>
      <c r="C3" s="23" t="s">
        <v>13</v>
      </c>
      <c r="D3" s="24">
        <v>0.39583333333333298</v>
      </c>
      <c r="E3" s="25">
        <v>0.72916666666666696</v>
      </c>
      <c r="F3" s="26">
        <v>0.33333333333333398</v>
      </c>
      <c r="G3" s="27">
        <v>4.1666666666666664E-2</v>
      </c>
      <c r="H3" s="28">
        <v>0.2916666666666673</v>
      </c>
      <c r="I3" s="24">
        <v>0</v>
      </c>
      <c r="J3" s="25">
        <v>0</v>
      </c>
      <c r="K3" s="26">
        <v>0</v>
      </c>
      <c r="L3" s="27">
        <v>0</v>
      </c>
      <c r="M3" s="28">
        <v>0</v>
      </c>
      <c r="N3" s="24">
        <v>0.60416666666666696</v>
      </c>
      <c r="O3" s="25">
        <v>0.91666666666666696</v>
      </c>
      <c r="P3" s="26">
        <v>0.3125</v>
      </c>
      <c r="Q3" s="27">
        <v>4.1666666666666664E-2</v>
      </c>
      <c r="R3" s="28">
        <v>0.27083333333333331</v>
      </c>
      <c r="S3" s="24">
        <v>0.39583333333333298</v>
      </c>
      <c r="T3" s="25">
        <v>0.91666666666666696</v>
      </c>
      <c r="U3" s="26">
        <v>0.52083333333333393</v>
      </c>
      <c r="V3" s="27">
        <v>8.3333333333333329E-2</v>
      </c>
      <c r="W3" s="28">
        <v>0.43750000000000061</v>
      </c>
      <c r="X3" s="24">
        <v>0.39583333333333298</v>
      </c>
      <c r="Y3" s="25">
        <v>0.72916666666666696</v>
      </c>
      <c r="Z3" s="26">
        <v>0.33333333333333398</v>
      </c>
      <c r="AA3" s="27">
        <v>4.1666666666666664E-2</v>
      </c>
      <c r="AB3" s="28">
        <v>0.2916666666666673</v>
      </c>
      <c r="AC3" s="24">
        <v>0.58333333333333304</v>
      </c>
      <c r="AD3" s="25">
        <v>0.91666666666666696</v>
      </c>
      <c r="AE3" s="26">
        <v>0.33333333333333393</v>
      </c>
      <c r="AF3" s="27">
        <v>4.1666666666666664E-2</v>
      </c>
      <c r="AG3" s="28">
        <v>0.29166666666666724</v>
      </c>
      <c r="AH3" s="24">
        <v>0.39583333333333298</v>
      </c>
      <c r="AI3" s="25">
        <v>0.75</v>
      </c>
      <c r="AJ3" s="26">
        <v>0.35416666666666702</v>
      </c>
      <c r="AK3" s="27">
        <v>6.25E-2</v>
      </c>
      <c r="AL3" s="28">
        <v>0.29166666666666702</v>
      </c>
      <c r="AM3" s="29">
        <v>1.8750000000000029</v>
      </c>
      <c r="AN3" s="30">
        <v>2.886579864025407E-15</v>
      </c>
      <c r="AO3" s="31"/>
    </row>
    <row r="4" spans="1:41" ht="49.2" customHeight="1" thickBot="1" x14ac:dyDescent="0.35">
      <c r="A4" s="21">
        <v>2</v>
      </c>
      <c r="B4" s="22" t="s">
        <v>14</v>
      </c>
      <c r="C4" s="23" t="s">
        <v>15</v>
      </c>
      <c r="D4" s="24">
        <v>0.60416666666666696</v>
      </c>
      <c r="E4" s="25">
        <v>0.91666666666666696</v>
      </c>
      <c r="F4" s="26">
        <v>0.3125</v>
      </c>
      <c r="G4" s="27">
        <v>4.1666666666666664E-2</v>
      </c>
      <c r="H4" s="28">
        <v>0.27083333333333331</v>
      </c>
      <c r="I4" s="24">
        <v>0.39583333333333298</v>
      </c>
      <c r="J4" s="25">
        <v>0.91666666666666696</v>
      </c>
      <c r="K4" s="26">
        <v>0.52083333333333393</v>
      </c>
      <c r="L4" s="27">
        <v>8.3333333333333329E-2</v>
      </c>
      <c r="M4" s="28">
        <v>0.43750000000000061</v>
      </c>
      <c r="N4" s="24">
        <v>0.39583333333333298</v>
      </c>
      <c r="O4" s="25">
        <v>0.72916666666666696</v>
      </c>
      <c r="P4" s="26">
        <v>0.33333333333333398</v>
      </c>
      <c r="Q4" s="27">
        <v>4.1666666666666664E-2</v>
      </c>
      <c r="R4" s="28">
        <v>0.2916666666666673</v>
      </c>
      <c r="S4" s="24">
        <v>0</v>
      </c>
      <c r="T4" s="25">
        <v>0</v>
      </c>
      <c r="U4" s="26">
        <v>0</v>
      </c>
      <c r="V4" s="27">
        <v>0</v>
      </c>
      <c r="W4" s="28">
        <v>0</v>
      </c>
      <c r="X4" s="24">
        <v>0.58333333333333304</v>
      </c>
      <c r="Y4" s="25">
        <v>0.91666666666666696</v>
      </c>
      <c r="Z4" s="26">
        <v>0.33333333333333393</v>
      </c>
      <c r="AA4" s="27">
        <v>4.1666666666666664E-2</v>
      </c>
      <c r="AB4" s="28">
        <v>0.29166666666666724</v>
      </c>
      <c r="AC4" s="24">
        <v>0.39583333333333298</v>
      </c>
      <c r="AD4" s="25">
        <v>0.75</v>
      </c>
      <c r="AE4" s="26">
        <v>0.35416666666666702</v>
      </c>
      <c r="AF4" s="27">
        <v>6.25E-2</v>
      </c>
      <c r="AG4" s="28">
        <v>0.29166666666666702</v>
      </c>
      <c r="AH4" s="24">
        <v>0.58333333333333304</v>
      </c>
      <c r="AI4" s="25">
        <v>0.91666666666666696</v>
      </c>
      <c r="AJ4" s="26">
        <v>0.33333333333333393</v>
      </c>
      <c r="AK4" s="27">
        <v>4.1666666666666664E-2</v>
      </c>
      <c r="AL4" s="28">
        <v>0.29166666666666724</v>
      </c>
      <c r="AM4" s="29">
        <v>1.8750000000000027</v>
      </c>
      <c r="AN4" s="30">
        <v>2.6645352591003757E-15</v>
      </c>
      <c r="AO4" s="31"/>
    </row>
    <row r="5" spans="1:41" ht="49.2" customHeight="1" thickBot="1" x14ac:dyDescent="0.35">
      <c r="A5" s="21">
        <v>3</v>
      </c>
      <c r="B5" s="22" t="s">
        <v>16</v>
      </c>
      <c r="C5" s="23" t="s">
        <v>17</v>
      </c>
      <c r="D5" s="24">
        <v>0.5625</v>
      </c>
      <c r="E5" s="25">
        <v>0.91666666666666696</v>
      </c>
      <c r="F5" s="26">
        <v>0.35416666666666696</v>
      </c>
      <c r="G5" s="27">
        <v>4.1666666666666664E-2</v>
      </c>
      <c r="H5" s="28">
        <v>0.31250000000000028</v>
      </c>
      <c r="I5" s="24">
        <v>0.39583333333333298</v>
      </c>
      <c r="J5" s="25">
        <v>0.72916666666666696</v>
      </c>
      <c r="K5" s="26">
        <v>0.33333333333333398</v>
      </c>
      <c r="L5" s="27">
        <v>4.1666666666666664E-2</v>
      </c>
      <c r="M5" s="28">
        <v>0.2916666666666673</v>
      </c>
      <c r="N5" s="24">
        <v>0</v>
      </c>
      <c r="O5" s="25">
        <v>0</v>
      </c>
      <c r="P5" s="26">
        <v>0</v>
      </c>
      <c r="Q5" s="27">
        <v>0</v>
      </c>
      <c r="R5" s="28">
        <v>0</v>
      </c>
      <c r="S5" s="24">
        <v>0.58333333333333304</v>
      </c>
      <c r="T5" s="25">
        <v>0.91666666666666696</v>
      </c>
      <c r="U5" s="26">
        <v>0.33333333333333393</v>
      </c>
      <c r="V5" s="27">
        <v>4.1666666666666664E-2</v>
      </c>
      <c r="W5" s="28">
        <v>0.29166666666666724</v>
      </c>
      <c r="X5" s="24">
        <v>0.54166666666666696</v>
      </c>
      <c r="Y5" s="25">
        <v>0.91666666666666696</v>
      </c>
      <c r="Z5" s="26">
        <v>0.375</v>
      </c>
      <c r="AA5" s="27">
        <v>6.25E-2</v>
      </c>
      <c r="AB5" s="28">
        <v>0.3125</v>
      </c>
      <c r="AC5" s="24">
        <v>0.39583333333333298</v>
      </c>
      <c r="AD5" s="25">
        <v>0.91666666666666696</v>
      </c>
      <c r="AE5" s="26">
        <v>0.52083333333333393</v>
      </c>
      <c r="AF5" s="27">
        <v>8.3333333333333329E-2</v>
      </c>
      <c r="AG5" s="28">
        <v>0.43750000000000061</v>
      </c>
      <c r="AH5" s="24">
        <v>0.54166666666666696</v>
      </c>
      <c r="AI5" s="25">
        <v>0.91666666666666696</v>
      </c>
      <c r="AJ5" s="26">
        <v>0.375</v>
      </c>
      <c r="AK5" s="27">
        <v>6.25E-2</v>
      </c>
      <c r="AL5" s="28">
        <v>0.3125</v>
      </c>
      <c r="AM5" s="29">
        <v>1.9583333333333355</v>
      </c>
      <c r="AN5" s="30">
        <v>8.333333333333548E-2</v>
      </c>
      <c r="AO5" s="31"/>
    </row>
    <row r="6" spans="1:41" ht="49.2" customHeight="1" thickBot="1" x14ac:dyDescent="0.35">
      <c r="A6" s="21">
        <v>4</v>
      </c>
      <c r="B6" s="22" t="s">
        <v>18</v>
      </c>
      <c r="C6" s="23" t="s">
        <v>17</v>
      </c>
      <c r="D6" s="24">
        <v>0</v>
      </c>
      <c r="E6" s="25">
        <v>0</v>
      </c>
      <c r="F6" s="26">
        <v>0</v>
      </c>
      <c r="G6" s="27">
        <v>0</v>
      </c>
      <c r="H6" s="28">
        <v>0</v>
      </c>
      <c r="I6" s="24">
        <v>0.60416666666666696</v>
      </c>
      <c r="J6" s="25">
        <v>0.91666666666666696</v>
      </c>
      <c r="K6" s="26">
        <v>0.3125</v>
      </c>
      <c r="L6" s="27">
        <v>4.1666666666666664E-2</v>
      </c>
      <c r="M6" s="28">
        <v>0.27083333333333331</v>
      </c>
      <c r="N6" s="24">
        <v>0.58333333333333304</v>
      </c>
      <c r="O6" s="25">
        <v>0.91666666666666696</v>
      </c>
      <c r="P6" s="26">
        <v>0.33333333333333393</v>
      </c>
      <c r="Q6" s="27">
        <v>4.1666666666666664E-2</v>
      </c>
      <c r="R6" s="28">
        <v>0.29166666666666724</v>
      </c>
      <c r="S6" s="24">
        <v>0.58333333333333304</v>
      </c>
      <c r="T6" s="25">
        <v>0.91666666666666696</v>
      </c>
      <c r="U6" s="26">
        <v>0.33333333333333393</v>
      </c>
      <c r="V6" s="27">
        <v>4.1666666666666664E-2</v>
      </c>
      <c r="W6" s="28">
        <v>0.29166666666666724</v>
      </c>
      <c r="X6" s="24">
        <v>0.39583333333333298</v>
      </c>
      <c r="Y6" s="25">
        <v>0.91666666666666696</v>
      </c>
      <c r="Z6" s="26">
        <v>0.52083333333333393</v>
      </c>
      <c r="AA6" s="27">
        <v>8.3333333333333329E-2</v>
      </c>
      <c r="AB6" s="28">
        <v>0.43750000000000061</v>
      </c>
      <c r="AC6" s="24">
        <v>0.5</v>
      </c>
      <c r="AD6" s="25">
        <v>0.83333333333333304</v>
      </c>
      <c r="AE6" s="26">
        <v>0.33333333333333304</v>
      </c>
      <c r="AF6" s="27">
        <v>4.1666666666666664E-2</v>
      </c>
      <c r="AG6" s="28">
        <v>0.29166666666666635</v>
      </c>
      <c r="AH6" s="24">
        <v>0.39583333333333298</v>
      </c>
      <c r="AI6" s="25">
        <v>0.72916666666666696</v>
      </c>
      <c r="AJ6" s="26">
        <v>0.33333333333333398</v>
      </c>
      <c r="AK6" s="27">
        <v>4.1666666666666664E-2</v>
      </c>
      <c r="AL6" s="28">
        <v>0.2916666666666673</v>
      </c>
      <c r="AM6" s="29">
        <v>1.8750000000000022</v>
      </c>
      <c r="AN6" s="30">
        <v>2.2204460492503131E-15</v>
      </c>
      <c r="AO6" s="31"/>
    </row>
    <row r="7" spans="1:41" ht="49.2" customHeight="1" thickBot="1" x14ac:dyDescent="0.35">
      <c r="A7" s="21">
        <v>5</v>
      </c>
      <c r="B7" s="22" t="s">
        <v>19</v>
      </c>
      <c r="C7" s="23" t="s">
        <v>17</v>
      </c>
      <c r="D7" s="24">
        <v>0.39583333333333298</v>
      </c>
      <c r="E7" s="25">
        <v>0.72916666666666696</v>
      </c>
      <c r="F7" s="26">
        <v>0.33333333333333398</v>
      </c>
      <c r="G7" s="27">
        <v>4.1666666666666664E-2</v>
      </c>
      <c r="H7" s="28">
        <v>0.2916666666666673</v>
      </c>
      <c r="I7" s="24">
        <v>0.52083333333333304</v>
      </c>
      <c r="J7" s="25">
        <v>0.83333333333333304</v>
      </c>
      <c r="K7" s="26">
        <v>0.3125</v>
      </c>
      <c r="L7" s="27">
        <v>4.1666666666666664E-2</v>
      </c>
      <c r="M7" s="28">
        <v>0.27083333333333331</v>
      </c>
      <c r="N7" s="24">
        <v>0.5</v>
      </c>
      <c r="O7" s="25">
        <v>0.83333333333333304</v>
      </c>
      <c r="P7" s="26">
        <v>0.33333333333333304</v>
      </c>
      <c r="Q7" s="27">
        <v>4.1666666666666664E-2</v>
      </c>
      <c r="R7" s="28">
        <v>0.29166666666666635</v>
      </c>
      <c r="S7" s="24">
        <v>0.39583333333333298</v>
      </c>
      <c r="T7" s="25">
        <v>0.72916666666666696</v>
      </c>
      <c r="U7" s="26">
        <v>0.33333333333333398</v>
      </c>
      <c r="V7" s="27">
        <v>4.1666666666666664E-2</v>
      </c>
      <c r="W7" s="28">
        <v>0.2916666666666673</v>
      </c>
      <c r="X7" s="24">
        <v>0</v>
      </c>
      <c r="Y7" s="25">
        <v>0</v>
      </c>
      <c r="Z7" s="26">
        <v>0</v>
      </c>
      <c r="AA7" s="27">
        <v>0</v>
      </c>
      <c r="AB7" s="28">
        <v>0</v>
      </c>
      <c r="AC7" s="24">
        <v>0.58333333333333304</v>
      </c>
      <c r="AD7" s="25">
        <v>0.91666666666666696</v>
      </c>
      <c r="AE7" s="26">
        <v>0.33333333333333393</v>
      </c>
      <c r="AF7" s="27">
        <v>4.1666666666666664E-2</v>
      </c>
      <c r="AG7" s="28">
        <v>0.29166666666666724</v>
      </c>
      <c r="AH7" s="24">
        <v>0.39583333333333298</v>
      </c>
      <c r="AI7" s="25">
        <v>0.91666666666666696</v>
      </c>
      <c r="AJ7" s="26">
        <v>0.52083333333333393</v>
      </c>
      <c r="AK7" s="27">
        <v>8.3333333333333329E-2</v>
      </c>
      <c r="AL7" s="28">
        <v>0.43750000000000061</v>
      </c>
      <c r="AM7" s="29">
        <v>1.8750000000000022</v>
      </c>
      <c r="AN7" s="30">
        <v>2.2204460492503131E-15</v>
      </c>
      <c r="AO7" s="31"/>
    </row>
    <row r="8" spans="1:41" ht="49.2" customHeight="1" thickBot="1" x14ac:dyDescent="0.35">
      <c r="A8" s="21">
        <v>6</v>
      </c>
      <c r="B8" s="22" t="s">
        <v>20</v>
      </c>
      <c r="C8" s="23" t="s">
        <v>17</v>
      </c>
      <c r="D8" s="24">
        <v>0.41666666666666702</v>
      </c>
      <c r="E8" s="25">
        <v>0.91666666666666696</v>
      </c>
      <c r="F8" s="26">
        <v>0.49999999999999994</v>
      </c>
      <c r="G8" s="27">
        <v>8.3333333333333329E-2</v>
      </c>
      <c r="H8" s="28">
        <v>0.41666666666666663</v>
      </c>
      <c r="I8" s="24">
        <v>0.39583333333333298</v>
      </c>
      <c r="J8" s="25">
        <v>0.91666666666666696</v>
      </c>
      <c r="K8" s="26">
        <v>0.52083333333333393</v>
      </c>
      <c r="L8" s="27">
        <v>8.3333333333333329E-2</v>
      </c>
      <c r="M8" s="28">
        <v>0.43750000000000061</v>
      </c>
      <c r="N8" s="24">
        <v>0.39583333333333298</v>
      </c>
      <c r="O8" s="25">
        <v>0.91666666666666696</v>
      </c>
      <c r="P8" s="26">
        <v>0.52083333333333393</v>
      </c>
      <c r="Q8" s="27">
        <v>8.3333333333333329E-2</v>
      </c>
      <c r="R8" s="28">
        <v>0.43750000000000061</v>
      </c>
      <c r="S8" s="24">
        <v>0.39583333333333298</v>
      </c>
      <c r="T8" s="25">
        <v>0.83333333333333304</v>
      </c>
      <c r="U8" s="26">
        <v>0.43750000000000006</v>
      </c>
      <c r="V8" s="27">
        <v>6.25E-2</v>
      </c>
      <c r="W8" s="28">
        <v>0.37500000000000006</v>
      </c>
      <c r="X8" s="24">
        <v>0</v>
      </c>
      <c r="Y8" s="25">
        <v>0</v>
      </c>
      <c r="Z8" s="26">
        <v>0</v>
      </c>
      <c r="AA8" s="27">
        <v>0</v>
      </c>
      <c r="AB8" s="28">
        <v>0</v>
      </c>
      <c r="AC8" s="24">
        <v>0</v>
      </c>
      <c r="AD8" s="25">
        <v>0</v>
      </c>
      <c r="AE8" s="26">
        <v>0</v>
      </c>
      <c r="AF8" s="27">
        <v>0</v>
      </c>
      <c r="AG8" s="28">
        <v>0</v>
      </c>
      <c r="AH8" s="24">
        <v>0</v>
      </c>
      <c r="AI8" s="25">
        <v>0</v>
      </c>
      <c r="AJ8" s="26">
        <v>0</v>
      </c>
      <c r="AK8" s="27">
        <v>0</v>
      </c>
      <c r="AL8" s="28">
        <v>0</v>
      </c>
      <c r="AM8" s="29">
        <v>1.6666666666666679</v>
      </c>
      <c r="AN8" s="30">
        <v>-0.20833333333333215</v>
      </c>
      <c r="AO8" s="31"/>
    </row>
    <row r="10" spans="1:41" ht="15" thickBot="1" x14ac:dyDescent="0.35"/>
    <row r="11" spans="1:41" ht="56.4" customHeight="1" thickTop="1" thickBot="1" x14ac:dyDescent="0.35">
      <c r="A11" s="33" t="s">
        <v>0</v>
      </c>
      <c r="B11" s="34" t="s">
        <v>1</v>
      </c>
      <c r="C11" s="35" t="s">
        <v>21</v>
      </c>
      <c r="D11" s="35"/>
      <c r="E11" s="35" t="s">
        <v>22</v>
      </c>
      <c r="F11" s="35"/>
      <c r="G11" s="35" t="s">
        <v>23</v>
      </c>
      <c r="H11" s="35"/>
      <c r="I11" s="35" t="s">
        <v>24</v>
      </c>
      <c r="J11" s="36"/>
      <c r="L11" s="37" t="s">
        <v>25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9"/>
    </row>
    <row r="12" spans="1:41" ht="24" customHeight="1" thickBot="1" x14ac:dyDescent="0.35">
      <c r="A12" s="21">
        <v>1</v>
      </c>
      <c r="B12" s="40" t="s">
        <v>12</v>
      </c>
      <c r="C12" s="41">
        <v>63</v>
      </c>
      <c r="D12" s="41"/>
      <c r="E12" s="41">
        <v>0</v>
      </c>
      <c r="F12" s="41"/>
      <c r="G12" s="41"/>
      <c r="H12" s="41"/>
      <c r="I12" s="41">
        <v>63</v>
      </c>
      <c r="J12" s="42"/>
      <c r="L12" s="21">
        <v>1</v>
      </c>
      <c r="M12" s="43" t="s">
        <v>26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41" ht="21.6" thickBot="1" x14ac:dyDescent="0.35">
      <c r="A13" s="21">
        <v>2</v>
      </c>
      <c r="B13" s="40" t="s">
        <v>27</v>
      </c>
      <c r="C13" s="41">
        <v>4</v>
      </c>
      <c r="D13" s="41"/>
      <c r="E13" s="41">
        <v>0</v>
      </c>
      <c r="F13" s="41"/>
      <c r="G13" s="41"/>
      <c r="H13" s="41"/>
      <c r="I13" s="41">
        <v>6</v>
      </c>
      <c r="J13" s="42"/>
      <c r="L13" s="21">
        <v>2</v>
      </c>
      <c r="M13" s="43" t="s">
        <v>28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4"/>
    </row>
    <row r="14" spans="1:41" ht="21.6" thickBot="1" x14ac:dyDescent="0.35">
      <c r="A14" s="21">
        <v>3</v>
      </c>
      <c r="B14" s="40" t="s">
        <v>16</v>
      </c>
      <c r="C14" s="41">
        <v>-2</v>
      </c>
      <c r="D14" s="41"/>
      <c r="E14" s="41">
        <v>2</v>
      </c>
      <c r="F14" s="41"/>
      <c r="G14" s="41"/>
      <c r="H14" s="41"/>
      <c r="I14" s="41">
        <v>0</v>
      </c>
      <c r="J14" s="42"/>
      <c r="L14" s="21">
        <v>3</v>
      </c>
      <c r="M14" s="43" t="s">
        <v>29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4"/>
    </row>
    <row r="15" spans="1:41" ht="21.6" thickBot="1" x14ac:dyDescent="0.35">
      <c r="A15" s="21">
        <v>4</v>
      </c>
      <c r="B15" s="40" t="s">
        <v>18</v>
      </c>
      <c r="C15" s="41">
        <v>9</v>
      </c>
      <c r="D15" s="41"/>
      <c r="E15" s="41">
        <v>0</v>
      </c>
      <c r="F15" s="41"/>
      <c r="G15" s="41"/>
      <c r="H15" s="41"/>
      <c r="I15" s="41">
        <v>9</v>
      </c>
      <c r="J15" s="42"/>
      <c r="L15" s="21">
        <v>4</v>
      </c>
      <c r="M15" s="43" t="s">
        <v>30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4"/>
    </row>
    <row r="16" spans="1:41" ht="21.6" thickBot="1" x14ac:dyDescent="0.35">
      <c r="A16" s="21">
        <v>5</v>
      </c>
      <c r="B16" s="40" t="s">
        <v>19</v>
      </c>
      <c r="C16" s="41">
        <v>0</v>
      </c>
      <c r="D16" s="41"/>
      <c r="E16" s="41">
        <v>0</v>
      </c>
      <c r="F16" s="41"/>
      <c r="G16" s="41"/>
      <c r="H16" s="41"/>
      <c r="I16" s="41">
        <v>0</v>
      </c>
      <c r="J16" s="42"/>
      <c r="L16" s="21">
        <v>5</v>
      </c>
      <c r="M16" s="43" t="s">
        <v>31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4"/>
    </row>
    <row r="17" spans="1:25" ht="21.6" thickBot="1" x14ac:dyDescent="0.35">
      <c r="A17" s="21">
        <v>6</v>
      </c>
      <c r="B17" s="40" t="s">
        <v>20</v>
      </c>
      <c r="C17" s="41">
        <v>0</v>
      </c>
      <c r="D17" s="41"/>
      <c r="E17" s="41">
        <v>-5</v>
      </c>
      <c r="F17" s="41"/>
      <c r="G17" s="41"/>
      <c r="H17" s="41"/>
      <c r="I17" s="41">
        <f t="shared" ref="I17" si="0">SUM(C17:F17)</f>
        <v>-5</v>
      </c>
      <c r="J17" s="42"/>
      <c r="L17" s="21">
        <v>6</v>
      </c>
      <c r="M17" s="43" t="s">
        <v>32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4"/>
    </row>
    <row r="18" spans="1:25" ht="21.6" thickBot="1" x14ac:dyDescent="0.35">
      <c r="A18" s="21">
        <v>7</v>
      </c>
      <c r="B18" s="40"/>
      <c r="C18" s="41"/>
      <c r="D18" s="41"/>
      <c r="E18" s="41"/>
      <c r="F18" s="41"/>
      <c r="G18" s="41"/>
      <c r="H18" s="41"/>
      <c r="I18" s="41"/>
      <c r="J18" s="42"/>
      <c r="L18" s="21">
        <v>7</v>
      </c>
      <c r="M18" s="43" t="s">
        <v>33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4"/>
    </row>
    <row r="19" spans="1:25" ht="21.6" thickBot="1" x14ac:dyDescent="0.35">
      <c r="A19" s="21">
        <v>8</v>
      </c>
      <c r="B19" s="40"/>
      <c r="C19" s="41"/>
      <c r="D19" s="41"/>
      <c r="E19" s="41"/>
      <c r="F19" s="41"/>
      <c r="G19" s="41"/>
      <c r="H19" s="41"/>
      <c r="I19" s="41"/>
      <c r="J19" s="42"/>
      <c r="L19" s="21">
        <v>8</v>
      </c>
      <c r="M19" s="43" t="s">
        <v>34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4"/>
    </row>
    <row r="20" spans="1:25" ht="21.6" thickBot="1" x14ac:dyDescent="0.35">
      <c r="A20" s="21">
        <v>9</v>
      </c>
      <c r="B20" s="40"/>
      <c r="C20" s="41"/>
      <c r="D20" s="41"/>
      <c r="E20" s="41"/>
      <c r="F20" s="41"/>
      <c r="G20" s="41"/>
      <c r="H20" s="41"/>
      <c r="I20" s="41"/>
      <c r="J20" s="42"/>
      <c r="L20" s="21">
        <v>9</v>
      </c>
      <c r="M20" s="43" t="s">
        <v>35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21.6" thickBot="1" x14ac:dyDescent="0.35">
      <c r="A21" s="32">
        <v>10</v>
      </c>
      <c r="B21" s="45"/>
      <c r="C21" s="46"/>
      <c r="D21" s="46"/>
      <c r="E21" s="46"/>
      <c r="F21" s="46"/>
      <c r="G21" s="46"/>
      <c r="H21" s="46"/>
      <c r="I21" s="46"/>
      <c r="J21" s="47"/>
      <c r="L21" s="32">
        <v>10</v>
      </c>
      <c r="M21" s="48" t="s">
        <v>36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</row>
    <row r="22" spans="1:25" ht="15" thickTop="1" x14ac:dyDescent="0.3"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6" spans="1:25" x14ac:dyDescent="0.3">
      <c r="M26" s="51"/>
    </row>
  </sheetData>
  <mergeCells count="67">
    <mergeCell ref="C21:D21"/>
    <mergeCell ref="E21:F21"/>
    <mergeCell ref="G21:H21"/>
    <mergeCell ref="I21:J21"/>
    <mergeCell ref="M21:Y21"/>
    <mergeCell ref="C19:D19"/>
    <mergeCell ref="E19:F19"/>
    <mergeCell ref="G19:H19"/>
    <mergeCell ref="I19:J19"/>
    <mergeCell ref="M19:Y19"/>
    <mergeCell ref="C20:D20"/>
    <mergeCell ref="E20:F20"/>
    <mergeCell ref="G20:H20"/>
    <mergeCell ref="I20:J20"/>
    <mergeCell ref="M20:Y20"/>
    <mergeCell ref="C17:D17"/>
    <mergeCell ref="E17:F17"/>
    <mergeCell ref="G17:H17"/>
    <mergeCell ref="I17:J17"/>
    <mergeCell ref="M17:Y17"/>
    <mergeCell ref="C18:D18"/>
    <mergeCell ref="E18:F18"/>
    <mergeCell ref="G18:H18"/>
    <mergeCell ref="I18:J18"/>
    <mergeCell ref="M18:Y18"/>
    <mergeCell ref="C15:D15"/>
    <mergeCell ref="E15:F15"/>
    <mergeCell ref="G15:H15"/>
    <mergeCell ref="I15:J15"/>
    <mergeCell ref="M15:Y15"/>
    <mergeCell ref="C16:D16"/>
    <mergeCell ref="E16:F16"/>
    <mergeCell ref="G16:H16"/>
    <mergeCell ref="I16:J16"/>
    <mergeCell ref="M16:Y16"/>
    <mergeCell ref="C13:D13"/>
    <mergeCell ref="E13:F13"/>
    <mergeCell ref="G13:H13"/>
    <mergeCell ref="I13:J13"/>
    <mergeCell ref="M13:Y13"/>
    <mergeCell ref="C14:D14"/>
    <mergeCell ref="E14:F14"/>
    <mergeCell ref="G14:H14"/>
    <mergeCell ref="I14:J14"/>
    <mergeCell ref="M14:Y14"/>
    <mergeCell ref="C11:D11"/>
    <mergeCell ref="E11:F11"/>
    <mergeCell ref="G11:H11"/>
    <mergeCell ref="I11:J11"/>
    <mergeCell ref="L11:Y11"/>
    <mergeCell ref="C12:D12"/>
    <mergeCell ref="E12:F12"/>
    <mergeCell ref="G12:H12"/>
    <mergeCell ref="I12:J12"/>
    <mergeCell ref="M12:Y12"/>
    <mergeCell ref="S1:W1"/>
    <mergeCell ref="X1:AB1"/>
    <mergeCell ref="AC1:AG1"/>
    <mergeCell ref="AH1:AL1"/>
    <mergeCell ref="AM1:AN1"/>
    <mergeCell ref="AO1:AO2"/>
    <mergeCell ref="A1:A2"/>
    <mergeCell ref="B1:B2"/>
    <mergeCell ref="C1:C2"/>
    <mergeCell ref="D1:H1"/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magaza.mudur</dc:creator>
  <cp:lastModifiedBy>Mustafa Berat Dağıtmaç</cp:lastModifiedBy>
  <dcterms:created xsi:type="dcterms:W3CDTF">2015-06-05T18:19:34Z</dcterms:created>
  <dcterms:modified xsi:type="dcterms:W3CDTF">2026-10-18T11:24:01Z</dcterms:modified>
</cp:coreProperties>
</file>