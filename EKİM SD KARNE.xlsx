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8B263361-1C5A-43FC-A111-9C52BBE1A4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<sst xmlns="http://schemas.openxmlformats.org/spreadsheetml/2006/main" count="97" uniqueCount="70">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</sst>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abSelected="1" topLeftCell="A7" zoomScale="70" zoomScaleNormal="70" workbookViewId="0">
      <selection activeCell="I21" sqref="I21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1538171</v>
      </c>
      <c r="C9" s="76">
        <f>IFERROR(B9/A9,)</f>
        <v>0.51272366666666669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17</v>
      </c>
      <c r="I10" s="84">
        <f>C11</f>
        <v>3553</v>
      </c>
      <c r="J10" s="85">
        <f ca="1">I10/H10</f>
        <v>209</v>
      </c>
      <c r="K10" s="85">
        <f>IFERROR(I10/G10,)</f>
        <v>710.6</v>
      </c>
      <c r="L10" s="86">
        <f ca="1">IFERROR(J10/G10,)</f>
        <v>41.8</v>
      </c>
      <c r="M10" s="87">
        <f ca="1">(M11-A11)+B11</f>
        <v>14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46313</v>
      </c>
      <c r="B11" s="170">
        <f ca="1">(N11-M11)+1</f>
        <v>31</v>
      </c>
      <c r="C11" s="171">
        <v>3553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62</v>
      </c>
      <c r="E13" s="107" cm="1">
        <f t="array" ref="E13:E31">DATA!D2:D20</f>
        <v>94</v>
      </c>
      <c r="F13" s="108">
        <f>DATA!E2</f>
        <v>1.5161290322580645</v>
      </c>
      <c r="G13" s="109">
        <f>DATA!F2</f>
        <v>5985.6129032258068</v>
      </c>
      <c r="H13" s="109">
        <f>DATA!G2</f>
        <v>3947.9574468085107</v>
      </c>
      <c r="I13" s="106" cm="1">
        <f t="array" ref="I13:I31">DATA!B2:B20</f>
        <v>371108</v>
      </c>
      <c r="J13" s="110">
        <f t="shared" ref="J13:J31" si="3">IFERROR(I13/C13,0)</f>
        <v>0.7781296774193549</v>
      </c>
      <c r="K13" s="111">
        <f>IFERROR(I13/$I$32,)</f>
        <v>0.24126576303934999</v>
      </c>
      <c r="L13" s="112" t="str">
        <f t="shared" ref="L13:L31" si="4">IFERROR(IF(J13&lt;0.85,"",IF(AND(J13&gt;0.85,J13&lt;1),$M$2*AB13*AJ13,$M$2*AB13*AJ13)),"")</f>
        <v/>
      </c>
      <c r="M13" s="113">
        <f t="shared" ref="M13:M31" si="5">IFERROR((($E$9+$F$9)*AC13),"")</f>
        <v>7296.9230769230762</v>
      </c>
      <c r="N13" s="114">
        <f>IFERROR(IF(C13-I13&lt;0,"",C13-I13),"")</f>
        <v>105815.07692307688</v>
      </c>
      <c r="O13" s="114">
        <f t="shared" ref="O13:O31" si="6">IFERROR(IF(N13/(W13-V13)&gt;0,N13/(W13-V13),""),"")</f>
        <v>7558.219780219777</v>
      </c>
      <c r="P13" s="110">
        <f t="shared" ref="P13:P31" si="7">IFERROR(I13/C13,0)</f>
        <v>0.7781296774193549</v>
      </c>
      <c r="Q13" s="109">
        <f t="shared" ref="Q13:Q31" si="8">IF(V13="",0,IF(W13=V13,I13,(I13/V13)*(W13-V13)+I13))</f>
        <v>676726.35294117639</v>
      </c>
      <c r="R13" s="115">
        <f>IFERROR(Q13/$Q$32,)</f>
        <v>0.23805183025545271</v>
      </c>
      <c r="S13" s="106">
        <f>IFERROR(IF(T13&lt;0.85,"",IF(AND(T13&gt;0.85,T13&lt;1),$M$2*AD13*AK13,$M$2*AD13*AK13)),"")</f>
        <v>13111.894810470334</v>
      </c>
      <c r="T13" s="110">
        <f t="shared" ref="T13:T31" si="9">IFERROR(Q13/C13,0)</f>
        <v>1.4189423529411764</v>
      </c>
      <c r="U13" s="116">
        <f t="shared" ref="U13:U31" si="10">IFERROR(D13/Z13,0)</f>
        <v>8.6223738017582485E-2</v>
      </c>
      <c r="V13" s="62">
        <v>17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719.05952380952385</v>
      </c>
      <c r="AA13" s="119">
        <f t="shared" ref="AA13:AA31" si="13">IFERROR(((Y13/$Y$32)*$A$9),"")</f>
        <v>476923.07692307688</v>
      </c>
      <c r="AB13" s="120">
        <f t="shared" ref="AB13:AB31" si="14">I13/$I$32</f>
        <v>0.24126576303934999</v>
      </c>
      <c r="AC13" s="121">
        <f>AA13/$C$32</f>
        <v>0.15897435897435896</v>
      </c>
      <c r="AD13" s="120">
        <f>Q13/$Q$32</f>
        <v>0.23805183025545271</v>
      </c>
      <c r="AE13" s="120">
        <f t="shared" ref="AE13:AE31" si="15">I13/C13</f>
        <v>0.7781296774193549</v>
      </c>
      <c r="AF13" s="120">
        <f t="shared" ref="AF13:AF31" si="16">Q13/C13</f>
        <v>1.4189423529411764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 t="str">
        <f t="shared" ref="AJ13:AJ31" si="18">IFERROR(LOOKUP(AE13,AL:AL,AM:AM),"")</f>
        <v/>
      </c>
      <c r="AK13" s="123">
        <f t="shared" ref="AK13:AK31" si="19">IFERROR(LOOKUP(AF13,AL:AL,AM:AM),"")</f>
        <v>1.2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52</v>
      </c>
      <c r="E14" s="126">
        <v>79</v>
      </c>
      <c r="F14" s="127">
        <f>DATA!E3</f>
        <v>1.5192307692307692</v>
      </c>
      <c r="G14" s="128">
        <f>DATA!F3</f>
        <v>6605.9807692307695</v>
      </c>
      <c r="H14" s="128">
        <f>DATA!G3</f>
        <v>4348.2405063291135</v>
      </c>
      <c r="I14" s="125">
        <v>343511</v>
      </c>
      <c r="J14" s="129">
        <f t="shared" si="3"/>
        <v>0.54019875000000006</v>
      </c>
      <c r="K14" s="111">
        <f t="shared" ref="K14:K31" si="21">IFERROR(I14/$I$32,)</f>
        <v>0.22332432479873823</v>
      </c>
      <c r="L14" s="112" t="str">
        <f t="shared" si="4"/>
        <v/>
      </c>
      <c r="M14" s="113">
        <f t="shared" si="5"/>
        <v>9729.2307692307695</v>
      </c>
      <c r="N14" s="130">
        <f t="shared" ref="N14:N31" si="22">IFERROR(IF(C14-I14&lt;0,"",C14-I14),"")</f>
        <v>292386.43589743588</v>
      </c>
      <c r="O14" s="130">
        <f t="shared" si="6"/>
        <v>20884.745421245421</v>
      </c>
      <c r="P14" s="129">
        <f t="shared" si="7"/>
        <v>0.54019875000000006</v>
      </c>
      <c r="Q14" s="109">
        <f t="shared" si="8"/>
        <v>626402.4117647059</v>
      </c>
      <c r="R14" s="115">
        <f t="shared" ref="R14:R31" si="23">IFERROR(Q14/$Q$32,)</f>
        <v>0.22034939226015293</v>
      </c>
      <c r="S14" s="106">
        <f t="shared" ref="S14:S31" si="24">IFERROR(IF(T14&lt;0.85,"",IF(AND(T14&gt;0.85,T14&lt;1),$M$2*AD14*AK14,$M$2*AD14*AK14)),"")</f>
        <v>9709.4756205513786</v>
      </c>
      <c r="T14" s="129">
        <f t="shared" si="9"/>
        <v>0.98506830882352947</v>
      </c>
      <c r="U14" s="131">
        <f t="shared" si="10"/>
        <v>7.2316683498617571E-2</v>
      </c>
      <c r="V14" s="62">
        <v>17</v>
      </c>
      <c r="W14" s="64">
        <v>31</v>
      </c>
      <c r="Y14" s="132">
        <f t="shared" si="11"/>
        <v>31</v>
      </c>
      <c r="Z14" s="133">
        <f t="shared" si="12"/>
        <v>719.05952380952385</v>
      </c>
      <c r="AA14" s="17">
        <f t="shared" si="13"/>
        <v>635897.43589743588</v>
      </c>
      <c r="AB14" s="134">
        <f t="shared" si="14"/>
        <v>0.22332432479873823</v>
      </c>
      <c r="AC14" s="135">
        <f t="shared" ref="AC14:AC31" si="25">AA14/$C$32</f>
        <v>0.21196581196581196</v>
      </c>
      <c r="AD14" s="134">
        <f t="shared" ref="AD14:AD18" si="26">Q14/$Q$32</f>
        <v>0.22034939226015293</v>
      </c>
      <c r="AE14" s="134">
        <f t="shared" si="15"/>
        <v>0.54019875000000006</v>
      </c>
      <c r="AF14" s="134">
        <f t="shared" si="16"/>
        <v>0.98506830882352947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 t="str">
        <f t="shared" si="18"/>
        <v/>
      </c>
      <c r="AK14" s="137">
        <f t="shared" si="19"/>
        <v>0.96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57</v>
      </c>
      <c r="E15" s="126">
        <v>74</v>
      </c>
      <c r="F15" s="127">
        <f>DATA!E4</f>
        <v>1.2982456140350878</v>
      </c>
      <c r="G15" s="128">
        <f>DATA!F4</f>
        <v>5089.7894736842109</v>
      </c>
      <c r="H15" s="128">
        <f>DATA!G4</f>
        <v>3920.5135135135133</v>
      </c>
      <c r="I15" s="125">
        <v>290118</v>
      </c>
      <c r="J15" s="129">
        <f t="shared" si="3"/>
        <v>0.47144174999999999</v>
      </c>
      <c r="K15" s="111">
        <f t="shared" si="21"/>
        <v>0.18861231943652559</v>
      </c>
      <c r="L15" s="112" t="str">
        <f t="shared" si="4"/>
        <v/>
      </c>
      <c r="M15" s="113">
        <f t="shared" si="5"/>
        <v>9415.3846153846152</v>
      </c>
      <c r="N15" s="130">
        <f t="shared" si="22"/>
        <v>325266.61538461538</v>
      </c>
      <c r="O15" s="130">
        <f t="shared" si="6"/>
        <v>23233.329670329669</v>
      </c>
      <c r="P15" s="129">
        <f t="shared" si="7"/>
        <v>0.47144174999999999</v>
      </c>
      <c r="Q15" s="109">
        <f t="shared" si="8"/>
        <v>543971.25</v>
      </c>
      <c r="R15" s="115">
        <f t="shared" si="23"/>
        <v>0.1913526067162076</v>
      </c>
      <c r="S15" s="106">
        <f t="shared" si="24"/>
        <v>6675.1443326881863</v>
      </c>
      <c r="T15" s="129">
        <f t="shared" si="9"/>
        <v>0.88395328125000006</v>
      </c>
      <c r="U15" s="131">
        <f t="shared" si="10"/>
        <v>8.4224598930481287E-2</v>
      </c>
      <c r="V15" s="62">
        <v>16</v>
      </c>
      <c r="W15" s="64">
        <v>30</v>
      </c>
      <c r="Y15" s="132">
        <f t="shared" si="11"/>
        <v>30</v>
      </c>
      <c r="Z15" s="133">
        <f t="shared" si="12"/>
        <v>676.7619047619047</v>
      </c>
      <c r="AA15" s="17">
        <f t="shared" si="13"/>
        <v>615384.61538461538</v>
      </c>
      <c r="AB15" s="134">
        <f t="shared" si="14"/>
        <v>0.18861231943652559</v>
      </c>
      <c r="AC15" s="135">
        <f t="shared" si="25"/>
        <v>0.20512820512820512</v>
      </c>
      <c r="AD15" s="134">
        <f t="shared" si="26"/>
        <v>0.1913526067162076</v>
      </c>
      <c r="AE15" s="134">
        <f t="shared" si="15"/>
        <v>0.47144174999999999</v>
      </c>
      <c r="AF15" s="134">
        <f t="shared" si="16"/>
        <v>0.88395328125000006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 t="str">
        <f t="shared" si="18"/>
        <v/>
      </c>
      <c r="AK15" s="137">
        <f t="shared" si="19"/>
        <v>0.76</v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50</v>
      </c>
      <c r="E16" s="126">
        <v>88</v>
      </c>
      <c r="F16" s="127">
        <f>DATA!E5</f>
        <v>1.76</v>
      </c>
      <c r="G16" s="128">
        <f>DATA!F5</f>
        <v>6473.56</v>
      </c>
      <c r="H16" s="128">
        <f>DATA!G5</f>
        <v>3678.159090909091</v>
      </c>
      <c r="I16" s="125">
        <v>323678</v>
      </c>
      <c r="J16" s="129">
        <f t="shared" si="3"/>
        <v>0.50900975806451609</v>
      </c>
      <c r="K16" s="111">
        <f t="shared" si="21"/>
        <v>0.21043043978855408</v>
      </c>
      <c r="L16" s="112" t="str">
        <f t="shared" si="4"/>
        <v/>
      </c>
      <c r="M16" s="113">
        <f t="shared" si="5"/>
        <v>9729.2307692307695</v>
      </c>
      <c r="N16" s="130">
        <f t="shared" ref="N16:N25" si="28">IFERROR(IF(C16-I16&lt;0,"",C16-I16),"")</f>
        <v>312219.43589743588</v>
      </c>
      <c r="O16" s="130">
        <f t="shared" si="6"/>
        <v>22301.388278388276</v>
      </c>
      <c r="P16" s="129">
        <f t="shared" si="7"/>
        <v>0.50900975806451609</v>
      </c>
      <c r="Q16" s="109">
        <f t="shared" si="8"/>
        <v>590236.35294117639</v>
      </c>
      <c r="R16" s="115">
        <f t="shared" si="23"/>
        <v>0.20762726837854323</v>
      </c>
      <c r="S16" s="106">
        <f t="shared" si="24"/>
        <v>8005.2769596031121</v>
      </c>
      <c r="T16" s="129">
        <f t="shared" si="9"/>
        <v>0.92819426470588229</v>
      </c>
      <c r="U16" s="131">
        <f t="shared" si="10"/>
        <v>6.9535272594824588E-2</v>
      </c>
      <c r="V16" s="62">
        <v>17</v>
      </c>
      <c r="W16" s="64">
        <v>31</v>
      </c>
      <c r="Y16" s="132">
        <f t="shared" si="11"/>
        <v>31</v>
      </c>
      <c r="Z16" s="133">
        <f t="shared" si="12"/>
        <v>719.05952380952385</v>
      </c>
      <c r="AA16" s="17">
        <f t="shared" si="13"/>
        <v>635897.43589743588</v>
      </c>
      <c r="AB16" s="134">
        <f t="shared" si="14"/>
        <v>0.21043043978855408</v>
      </c>
      <c r="AC16" s="135">
        <f t="shared" si="25"/>
        <v>0.21196581196581196</v>
      </c>
      <c r="AD16" s="134">
        <f t="shared" si="26"/>
        <v>0.20762726837854323</v>
      </c>
      <c r="AE16" s="134">
        <f t="shared" si="15"/>
        <v>0.50900975806451609</v>
      </c>
      <c r="AF16" s="134">
        <f t="shared" si="16"/>
        <v>0.92819426470588229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 t="str">
        <f t="shared" si="18"/>
        <v/>
      </c>
      <c r="AK16" s="137">
        <f t="shared" si="19"/>
        <v>0.84</v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40</v>
      </c>
      <c r="E17" s="126">
        <v>53</v>
      </c>
      <c r="F17" s="127">
        <f>DATA!E6</f>
        <v>1.325</v>
      </c>
      <c r="G17" s="128">
        <f>DATA!F6</f>
        <v>5558.35</v>
      </c>
      <c r="H17" s="128">
        <f>DATA!G6</f>
        <v>4194.9811320754716</v>
      </c>
      <c r="I17" s="125">
        <v>222334</v>
      </c>
      <c r="J17" s="129">
        <f t="shared" si="3"/>
        <v>0.34963814516129033</v>
      </c>
      <c r="K17" s="111">
        <f t="shared" si="21"/>
        <v>0.14454439720941301</v>
      </c>
      <c r="L17" s="112" t="str">
        <f t="shared" si="4"/>
        <v/>
      </c>
      <c r="M17" s="113">
        <f t="shared" si="5"/>
        <v>9729.2307692307695</v>
      </c>
      <c r="N17" s="130">
        <f t="shared" si="28"/>
        <v>413563.43589743588</v>
      </c>
      <c r="O17" s="130">
        <f t="shared" si="6"/>
        <v>29540.245421245421</v>
      </c>
      <c r="P17" s="129">
        <f t="shared" si="7"/>
        <v>0.34963814516129033</v>
      </c>
      <c r="Q17" s="109">
        <f t="shared" si="8"/>
        <v>405432.5882352941</v>
      </c>
      <c r="R17" s="115">
        <f t="shared" si="23"/>
        <v>0.14261890238964353</v>
      </c>
      <c r="S17" s="106" t="str">
        <f t="shared" si="24"/>
        <v/>
      </c>
      <c r="T17" s="129">
        <f t="shared" si="9"/>
        <v>0.63757544117647058</v>
      </c>
      <c r="U17" s="131">
        <f t="shared" si="10"/>
        <v>5.5628218075859666E-2</v>
      </c>
      <c r="V17" s="62">
        <v>17</v>
      </c>
      <c r="W17" s="64">
        <v>31</v>
      </c>
      <c r="Y17" s="132">
        <f t="shared" si="11"/>
        <v>31</v>
      </c>
      <c r="Z17" s="133">
        <f t="shared" si="12"/>
        <v>719.05952380952385</v>
      </c>
      <c r="AA17" s="17">
        <f t="shared" si="13"/>
        <v>635897.43589743588</v>
      </c>
      <c r="AB17" s="134">
        <f t="shared" si="14"/>
        <v>0.14454439720941301</v>
      </c>
      <c r="AC17" s="135">
        <f t="shared" si="25"/>
        <v>0.21196581196581196</v>
      </c>
      <c r="AD17" s="134">
        <f t="shared" si="26"/>
        <v>0.14261890238964353</v>
      </c>
      <c r="AE17" s="134">
        <f t="shared" si="15"/>
        <v>0.34963814516129033</v>
      </c>
      <c r="AF17" s="134">
        <f t="shared" si="16"/>
        <v>0.63757544117647058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-4</v>
      </c>
      <c r="E18" s="126">
        <v>-4</v>
      </c>
      <c r="F18" s="127">
        <f>DATA!E7</f>
        <v>1</v>
      </c>
      <c r="G18" s="128">
        <f>DATA!F7</f>
        <v>3144.5</v>
      </c>
      <c r="H18" s="128">
        <f>DATA!G7</f>
        <v>3144.5</v>
      </c>
      <c r="I18" s="125">
        <v>-12578</v>
      </c>
      <c r="J18" s="129">
        <f t="shared" si="3"/>
        <v>0</v>
      </c>
      <c r="K18" s="111">
        <f t="shared" si="21"/>
        <v>-8.1772442725808765E-3</v>
      </c>
      <c r="L18" s="112" t="str">
        <f t="shared" si="4"/>
        <v/>
      </c>
      <c r="M18" s="113">
        <f t="shared" si="5"/>
        <v>0</v>
      </c>
      <c r="N18" s="130">
        <f t="shared" si="28"/>
        <v>12578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-8.1772442725808765E-3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257</v>
      </c>
      <c r="E32" s="153">
        <f>SUM(E13:E31)</f>
        <v>384</v>
      </c>
      <c r="F32" s="154">
        <f>IFERROR(SUM(F13:F31)/G10,)</f>
        <v>1.6837210831047842</v>
      </c>
      <c r="G32" s="155">
        <f>IFERROR(SUM(G13:G31)/G10,)</f>
        <v>6571.5586292281569</v>
      </c>
      <c r="H32" s="155">
        <f>IFERROR(SUM(H13:H31)/G10,)</f>
        <v>4646.8703379271401</v>
      </c>
      <c r="I32" s="155">
        <f>SUM(I13:I31)</f>
        <v>1538171</v>
      </c>
      <c r="J32" s="156">
        <f>IFERROR(I32/C32,)</f>
        <v>0.51272366666666669</v>
      </c>
      <c r="K32" s="156">
        <f>SUM(K13:K31)</f>
        <v>0.99999999999999978</v>
      </c>
      <c r="L32" s="155">
        <f>SUM(L13:L31)</f>
        <v>0</v>
      </c>
      <c r="M32" s="155">
        <f>SUM(M13:M31)</f>
        <v>45900</v>
      </c>
      <c r="N32" s="155">
        <f>SUM(N13:N31)</f>
        <v>1461829</v>
      </c>
      <c r="O32" s="155">
        <f>SUM(O13:O31)</f>
        <v>103517.92857142857</v>
      </c>
      <c r="P32" s="157"/>
      <c r="Q32" s="152">
        <f>SUM(Q13:Q31)</f>
        <v>2842768.9558823528</v>
      </c>
      <c r="R32" s="156">
        <f>SUM(R13:R31)</f>
        <v>1</v>
      </c>
      <c r="S32" s="155">
        <f>SUM(S13:S31)</f>
        <v>37501.791723313014</v>
      </c>
      <c r="T32" s="158">
        <f>IFERROR(Q32/C32,)</f>
        <v>0.94758965196078426</v>
      </c>
      <c r="U32" s="165"/>
      <c r="V32" s="166">
        <f>SUM(V13:V31)</f>
        <v>84</v>
      </c>
      <c r="W32" s="167">
        <f>SUM(W13:W31)</f>
        <v>154</v>
      </c>
      <c r="Y32" s="160">
        <f>SUM(Y13:Y31)</f>
        <v>146.25</v>
      </c>
      <c r="Z32" s="164">
        <f>SUM(Z13:Z31)</f>
        <v>3553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workbookViewId="0">
      <selection activeCell="B2" sqref="B2:D7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371108</v>
      </c>
      <c r="C2" s="18">
        <v>62</v>
      </c>
      <c r="D2" s="18">
        <v>94</v>
      </c>
      <c r="E2" s="16">
        <f>IFERROR((D2/C2),"")</f>
        <v>1.5161290322580645</v>
      </c>
      <c r="F2" s="17">
        <f>IFERROR((B2/C2),"")</f>
        <v>5985.6129032258068</v>
      </c>
      <c r="G2" s="17">
        <f>IFERROR((B2/D2),"")</f>
        <v>3947.9574468085107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343511</v>
      </c>
      <c r="C3" s="18">
        <v>52</v>
      </c>
      <c r="D3" s="18">
        <v>79</v>
      </c>
      <c r="E3" s="16">
        <f t="shared" ref="E3:E20" si="0">IFERROR((D3/C3),"")</f>
        <v>1.5192307692307692</v>
      </c>
      <c r="F3" s="17">
        <f t="shared" ref="F3:F20" si="1">IFERROR((B3/C3),"")</f>
        <v>6605.9807692307695</v>
      </c>
      <c r="G3" s="17">
        <f t="shared" ref="G3:G20" si="2">IFERROR((B3/D3),"")</f>
        <v>4348.2405063291135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290118</v>
      </c>
      <c r="C4" s="18">
        <v>57</v>
      </c>
      <c r="D4" s="18">
        <v>74</v>
      </c>
      <c r="E4" s="16">
        <f t="shared" si="0"/>
        <v>1.2982456140350878</v>
      </c>
      <c r="F4" s="17">
        <f t="shared" si="1"/>
        <v>5089.7894736842109</v>
      </c>
      <c r="G4" s="17">
        <f t="shared" si="2"/>
        <v>3920.5135135135133</v>
      </c>
    </row>
    <row r="5" spans="1:18" x14ac:dyDescent="0.3">
      <c r="A5" s="18" t="s">
        <v>66</v>
      </c>
      <c r="B5" s="175">
        <v>323678</v>
      </c>
      <c r="C5" s="18">
        <v>50</v>
      </c>
      <c r="D5" s="18">
        <v>88</v>
      </c>
      <c r="E5" s="16">
        <f t="shared" si="0"/>
        <v>1.76</v>
      </c>
      <c r="F5" s="17">
        <f t="shared" si="1"/>
        <v>6473.56</v>
      </c>
      <c r="G5" s="17">
        <f t="shared" si="2"/>
        <v>3678.159090909091</v>
      </c>
    </row>
    <row r="6" spans="1:18" x14ac:dyDescent="0.3">
      <c r="A6" s="18" t="s">
        <v>68</v>
      </c>
      <c r="B6" s="19">
        <v>222334</v>
      </c>
      <c r="C6" s="18">
        <v>40</v>
      </c>
      <c r="D6" s="18">
        <v>53</v>
      </c>
      <c r="E6" s="16">
        <f t="shared" si="0"/>
        <v>1.325</v>
      </c>
      <c r="F6" s="17">
        <f t="shared" si="1"/>
        <v>5558.35</v>
      </c>
      <c r="G6" s="17">
        <f t="shared" si="2"/>
        <v>4194.9811320754716</v>
      </c>
    </row>
    <row r="7" spans="1:18" x14ac:dyDescent="0.3">
      <c r="A7" s="18" t="s">
        <v>69</v>
      </c>
      <c r="B7" s="19">
        <v>-12578</v>
      </c>
      <c r="C7" s="18">
        <v>-4</v>
      </c>
      <c r="D7" s="18">
        <v>-4</v>
      </c>
      <c r="E7" s="16">
        <f t="shared" si="0"/>
        <v>1</v>
      </c>
      <c r="F7" s="17">
        <f t="shared" si="1"/>
        <v>3144.5</v>
      </c>
      <c r="G7" s="17">
        <f t="shared" si="2"/>
        <v>3144.5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2026-10-18T09:51:39Z</dcterms:modified>
</cp:coreProperties>
</file>