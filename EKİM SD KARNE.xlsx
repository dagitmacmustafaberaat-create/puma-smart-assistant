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AD84C00E-0B6B-4159-A5D9-D03778DBF2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<sst xmlns="http://schemas.openxmlformats.org/spreadsheetml/2006/main" count="97" uniqueCount="70">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</sst>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Q18" sqref="Q18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2330510.9500000002</v>
      </c>
      <c r="C9" s="76">
        <f>IFERROR(B9/A9,)</f>
        <v>0.7768369833333334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28</v>
      </c>
      <c r="I10" s="84">
        <f>C11</f>
        <v>5616</v>
      </c>
      <c r="J10" s="85">
        <f ca="1">I10/H10</f>
        <v>200.57142857142858</v>
      </c>
      <c r="K10" s="85">
        <f>IFERROR(I10/G10,)</f>
        <v>1123.2</v>
      </c>
      <c r="L10" s="86">
        <f ca="1">IFERROR(J10/G10,)</f>
        <v>40.114285714285714</v>
      </c>
      <c r="M10" s="87">
        <f ca="1">(M11-A11)+B11</f>
        <v>3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46324</v>
      </c>
      <c r="B11" s="170">
        <f ca="1">(N11-M11)+1</f>
        <v>31</v>
      </c>
      <c r="C11" s="171">
        <v>5616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86</v>
      </c>
      <c r="E13" s="107" cm="1">
        <f t="array" ref="E13:E31">DATA!D2:D20</f>
        <v>124</v>
      </c>
      <c r="F13" s="108">
        <f>DATA!E2</f>
        <v>1.441860465116279</v>
      </c>
      <c r="G13" s="109">
        <f>DATA!F2</f>
        <v>5623.0116279069771</v>
      </c>
      <c r="H13" s="109">
        <f>DATA!G2</f>
        <v>3899.8306451612902</v>
      </c>
      <c r="I13" s="106" cm="1">
        <f t="array" ref="I13:I31">DATA!B2:B20</f>
        <v>483579</v>
      </c>
      <c r="J13" s="110">
        <f t="shared" ref="J13:J31" si="3">IFERROR(I13/C13,0)</f>
        <v>1.0139559677419356</v>
      </c>
      <c r="K13" s="111">
        <f>IFERROR(I13/$I$32,)</f>
        <v>0.20749913232546707</v>
      </c>
      <c r="L13" s="112">
        <f t="shared" ref="L13:L31" si="4">IFERROR(IF(J13&lt;0.85,"",IF(AND(J13&gt;0.85,J13&lt;1),$M$2*AB13*AJ13,$M$2*AB13*AJ13)),"")</f>
        <v>9619.4522754763275</v>
      </c>
      <c r="M13" s="113">
        <f t="shared" ref="M13:M31" si="5">IFERROR((($E$9+$F$9)*AC13),"")</f>
        <v>7296.9230769230762</v>
      </c>
      <c r="N13" s="114" t="str">
        <f>IFERROR(IF(C13-I13&lt;0,"",C13-I13),"")</f>
        <v/>
      </c>
      <c r="O13" s="114" t="str">
        <f t="shared" ref="O13:O31" si="6">IFERROR(IF(N13/(W13-V13)&gt;0,N13/(W13-V13),""),"")</f>
        <v/>
      </c>
      <c r="P13" s="110">
        <f t="shared" ref="P13:P31" si="7">IFERROR(I13/C13,0)</f>
        <v>1.0139559677419356</v>
      </c>
      <c r="Q13" s="109">
        <f t="shared" ref="Q13:Q31" si="8">IF(V13="",0,IF(W13=V13,I13,(I13/V13)*(W13-V13)+I13))</f>
        <v>535391.03571428568</v>
      </c>
      <c r="R13" s="115">
        <f>IFERROR(Q13/$Q$32,)</f>
        <v>0.20502408068210914</v>
      </c>
      <c r="S13" s="106">
        <f>IFERROR(IF(T13&lt;0.85,"",IF(AND(T13&gt;0.85,T13&lt;1),$M$2*AD13*AK13,$M$2*AD13*AK13)),"")</f>
        <v>10539.877939705868</v>
      </c>
      <c r="T13" s="110">
        <f t="shared" ref="T13:T31" si="9">IFERROR(Q13/C13,0)</f>
        <v>1.1225941071428571</v>
      </c>
      <c r="U13" s="116">
        <f t="shared" ref="U13:U31" si="10">IFERROR(D13/Z13,0)</f>
        <v>7.6020044770044759E-2</v>
      </c>
      <c r="V13" s="62">
        <v>28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1131.2805755395684</v>
      </c>
      <c r="AA13" s="119">
        <f t="shared" ref="AA13:AA31" si="13">IFERROR(((Y13/$Y$32)*$A$9),"")</f>
        <v>476923.07692307688</v>
      </c>
      <c r="AB13" s="120">
        <f t="shared" ref="AB13:AB31" si="14">I13/$I$32</f>
        <v>0.20749913232546707</v>
      </c>
      <c r="AC13" s="121">
        <f>AA13/$C$32</f>
        <v>0.15897435897435896</v>
      </c>
      <c r="AD13" s="120">
        <f>Q13/$Q$32</f>
        <v>0.20502408068210914</v>
      </c>
      <c r="AE13" s="120">
        <f t="shared" ref="AE13:AE31" si="15">I13/C13</f>
        <v>1.0139559677419356</v>
      </c>
      <c r="AF13" s="120">
        <f t="shared" ref="AF13:AF31" si="16">Q13/C13</f>
        <v>1.1225941071428571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>
        <f t="shared" ref="AJ13:AJ31" si="18">IFERROR(LOOKUP(AE13,AL:AL,AM:AM),"")</f>
        <v>1.01</v>
      </c>
      <c r="AK13" s="123">
        <f t="shared" ref="AK13:AK31" si="19">IFERROR(LOOKUP(AF13,AL:AL,AM:AM),"")</f>
        <v>1.1200000000000001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87</v>
      </c>
      <c r="E14" s="126">
        <v>136</v>
      </c>
      <c r="F14" s="127">
        <f>DATA!E3</f>
        <v>1.5632183908045978</v>
      </c>
      <c r="G14" s="128">
        <f>DATA!F3</f>
        <v>6412.5517241379312</v>
      </c>
      <c r="H14" s="128">
        <f>DATA!G3</f>
        <v>4102.1470588235297</v>
      </c>
      <c r="I14" s="125">
        <v>557892</v>
      </c>
      <c r="J14" s="129">
        <f t="shared" si="3"/>
        <v>0.8773301612903226</v>
      </c>
      <c r="K14" s="111">
        <f t="shared" ref="K14:K31" si="21">IFERROR(I14/$I$32,)</f>
        <v>0.23938613118294938</v>
      </c>
      <c r="L14" s="112">
        <f t="shared" si="4"/>
        <v>8130.989331760059</v>
      </c>
      <c r="M14" s="113">
        <f t="shared" si="5"/>
        <v>9729.2307692307695</v>
      </c>
      <c r="N14" s="130">
        <f t="shared" ref="N14:N31" si="22">IFERROR(IF(C14-I14&lt;0,"",C14-I14),"")</f>
        <v>78005.435897435877</v>
      </c>
      <c r="O14" s="130">
        <f t="shared" si="6"/>
        <v>26001.811965811958</v>
      </c>
      <c r="P14" s="129">
        <f t="shared" si="7"/>
        <v>0.8773301612903226</v>
      </c>
      <c r="Q14" s="109">
        <f t="shared" si="8"/>
        <v>617666.14285714284</v>
      </c>
      <c r="R14" s="115">
        <f t="shared" ref="R14:R31" si="23">IFERROR(Q14/$Q$32,)</f>
        <v>0.23653073111095238</v>
      </c>
      <c r="S14" s="106">
        <f t="shared" ref="S14:S31" si="24">IFERROR(IF(T14&lt;0.85,"",IF(AND(T14&gt;0.85,T14&lt;1),$M$2*AD14*AK14,$M$2*AD14*AK14)),"")</f>
        <v>10205.354924513151</v>
      </c>
      <c r="T14" s="129">
        <f t="shared" si="9"/>
        <v>0.97132982142857138</v>
      </c>
      <c r="U14" s="131">
        <f t="shared" si="10"/>
        <v>7.6903998778998769E-2</v>
      </c>
      <c r="V14" s="62">
        <v>28</v>
      </c>
      <c r="W14" s="64">
        <v>31</v>
      </c>
      <c r="Y14" s="132">
        <f t="shared" si="11"/>
        <v>31</v>
      </c>
      <c r="Z14" s="133">
        <f t="shared" si="12"/>
        <v>1131.2805755395684</v>
      </c>
      <c r="AA14" s="17">
        <f t="shared" si="13"/>
        <v>635897.43589743588</v>
      </c>
      <c r="AB14" s="134">
        <f t="shared" si="14"/>
        <v>0.23938613118294938</v>
      </c>
      <c r="AC14" s="135">
        <f t="shared" ref="AC14:AC31" si="25">AA14/$C$32</f>
        <v>0.21196581196581196</v>
      </c>
      <c r="AD14" s="134">
        <f t="shared" ref="AD14:AD18" si="26">Q14/$Q$32</f>
        <v>0.23653073111095238</v>
      </c>
      <c r="AE14" s="134">
        <f t="shared" si="15"/>
        <v>0.8773301612903226</v>
      </c>
      <c r="AF14" s="134">
        <f t="shared" si="16"/>
        <v>0.97132982142857138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>
        <f t="shared" si="18"/>
        <v>0.74</v>
      </c>
      <c r="AK14" s="137">
        <f t="shared" si="19"/>
        <v>0.94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82</v>
      </c>
      <c r="E15" s="126">
        <v>112</v>
      </c>
      <c r="F15" s="127">
        <f>DATA!E4</f>
        <v>1.3658536585365855</v>
      </c>
      <c r="G15" s="128">
        <f>DATA!F4</f>
        <v>5484.3536585365855</v>
      </c>
      <c r="H15" s="128">
        <f>DATA!G4</f>
        <v>4015.3303571428573</v>
      </c>
      <c r="I15" s="125">
        <v>449717</v>
      </c>
      <c r="J15" s="129">
        <f t="shared" si="3"/>
        <v>0.73079012499999996</v>
      </c>
      <c r="K15" s="111">
        <f t="shared" si="21"/>
        <v>0.1929692713951848</v>
      </c>
      <c r="L15" s="112" t="str">
        <f t="shared" si="4"/>
        <v/>
      </c>
      <c r="M15" s="113">
        <f t="shared" si="5"/>
        <v>9415.3846153846152</v>
      </c>
      <c r="N15" s="130">
        <f t="shared" si="22"/>
        <v>165667.61538461538</v>
      </c>
      <c r="O15" s="130">
        <f t="shared" si="6"/>
        <v>55222.538461538461</v>
      </c>
      <c r="P15" s="129">
        <f t="shared" si="7"/>
        <v>0.73079012499999996</v>
      </c>
      <c r="Q15" s="109">
        <f t="shared" si="8"/>
        <v>499685.55555555556</v>
      </c>
      <c r="R15" s="115">
        <f t="shared" si="23"/>
        <v>0.19135092824486225</v>
      </c>
      <c r="S15" s="106" t="str">
        <f t="shared" si="24"/>
        <v/>
      </c>
      <c r="T15" s="129">
        <f t="shared" si="9"/>
        <v>0.81198902777777782</v>
      </c>
      <c r="U15" s="131">
        <f t="shared" si="10"/>
        <v>7.5168829798459416E-2</v>
      </c>
      <c r="V15" s="62">
        <v>27</v>
      </c>
      <c r="W15" s="64">
        <v>30</v>
      </c>
      <c r="Y15" s="132">
        <f t="shared" si="11"/>
        <v>30</v>
      </c>
      <c r="Z15" s="133">
        <f t="shared" si="12"/>
        <v>1090.8776978417268</v>
      </c>
      <c r="AA15" s="17">
        <f t="shared" si="13"/>
        <v>615384.61538461538</v>
      </c>
      <c r="AB15" s="134">
        <f t="shared" si="14"/>
        <v>0.1929692713951848</v>
      </c>
      <c r="AC15" s="135">
        <f t="shared" si="25"/>
        <v>0.20512820512820512</v>
      </c>
      <c r="AD15" s="134">
        <f t="shared" si="26"/>
        <v>0.19135092824486225</v>
      </c>
      <c r="AE15" s="134">
        <f t="shared" si="15"/>
        <v>0.73079012499999996</v>
      </c>
      <c r="AF15" s="134">
        <f t="shared" si="16"/>
        <v>0.81198902777777782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 t="str">
        <f t="shared" si="19"/>
        <v/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89</v>
      </c>
      <c r="E16" s="126">
        <v>144</v>
      </c>
      <c r="F16" s="127">
        <f>DATA!E5</f>
        <v>1.6179775280898876</v>
      </c>
      <c r="G16" s="128">
        <f>DATA!F5</f>
        <v>6268.4494382022476</v>
      </c>
      <c r="H16" s="128">
        <f>DATA!G5</f>
        <v>3874.25</v>
      </c>
      <c r="I16" s="125">
        <v>557892</v>
      </c>
      <c r="J16" s="129">
        <f t="shared" si="3"/>
        <v>0.8773301612903226</v>
      </c>
      <c r="K16" s="111">
        <f t="shared" si="21"/>
        <v>0.23938613118294938</v>
      </c>
      <c r="L16" s="112">
        <f t="shared" si="4"/>
        <v>8130.989331760059</v>
      </c>
      <c r="M16" s="113">
        <f t="shared" si="5"/>
        <v>9729.2307692307695</v>
      </c>
      <c r="N16" s="130">
        <f t="shared" ref="N16:N25" si="28">IFERROR(IF(C16-I16&lt;0,"",C16-I16),"")</f>
        <v>78005.435897435877</v>
      </c>
      <c r="O16" s="130">
        <f t="shared" si="6"/>
        <v>26001.811965811958</v>
      </c>
      <c r="P16" s="129">
        <f t="shared" si="7"/>
        <v>0.8773301612903226</v>
      </c>
      <c r="Q16" s="109">
        <f t="shared" si="8"/>
        <v>617666.14285714284</v>
      </c>
      <c r="R16" s="115">
        <f t="shared" si="23"/>
        <v>0.23653073111095238</v>
      </c>
      <c r="S16" s="106">
        <f t="shared" si="24"/>
        <v>10205.354924513151</v>
      </c>
      <c r="T16" s="129">
        <f t="shared" si="9"/>
        <v>0.97132982142857138</v>
      </c>
      <c r="U16" s="131">
        <f t="shared" si="10"/>
        <v>7.867190679690679E-2</v>
      </c>
      <c r="V16" s="62">
        <v>28</v>
      </c>
      <c r="W16" s="64">
        <v>31</v>
      </c>
      <c r="Y16" s="132">
        <f t="shared" si="11"/>
        <v>31</v>
      </c>
      <c r="Z16" s="133">
        <f t="shared" si="12"/>
        <v>1131.2805755395684</v>
      </c>
      <c r="AA16" s="17">
        <f t="shared" si="13"/>
        <v>635897.43589743588</v>
      </c>
      <c r="AB16" s="134">
        <f t="shared" si="14"/>
        <v>0.23938613118294938</v>
      </c>
      <c r="AC16" s="135">
        <f t="shared" si="25"/>
        <v>0.21196581196581196</v>
      </c>
      <c r="AD16" s="134">
        <f t="shared" si="26"/>
        <v>0.23653073111095238</v>
      </c>
      <c r="AE16" s="134">
        <f t="shared" si="15"/>
        <v>0.8773301612903226</v>
      </c>
      <c r="AF16" s="134">
        <f t="shared" si="16"/>
        <v>0.97132982142857138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>
        <f t="shared" si="18"/>
        <v>0.74</v>
      </c>
      <c r="AK16" s="137">
        <f t="shared" si="19"/>
        <v>0.94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63</v>
      </c>
      <c r="E17" s="126">
        <v>78</v>
      </c>
      <c r="F17" s="127">
        <f>DATA!E6</f>
        <v>1.2380952380952381</v>
      </c>
      <c r="G17" s="128">
        <f>DATA!F6</f>
        <v>4888.1428571428569</v>
      </c>
      <c r="H17" s="128">
        <f>DATA!G6</f>
        <v>3948.1153846153848</v>
      </c>
      <c r="I17" s="125">
        <v>307953</v>
      </c>
      <c r="J17" s="129">
        <f t="shared" si="3"/>
        <v>0.48428092741935486</v>
      </c>
      <c r="K17" s="111">
        <f t="shared" si="21"/>
        <v>0.13213969237089401</v>
      </c>
      <c r="L17" s="112" t="str">
        <f t="shared" si="4"/>
        <v/>
      </c>
      <c r="M17" s="113">
        <f t="shared" si="5"/>
        <v>9729.2307692307695</v>
      </c>
      <c r="N17" s="130">
        <f t="shared" si="28"/>
        <v>327944.43589743588</v>
      </c>
      <c r="O17" s="130">
        <f t="shared" si="6"/>
        <v>109314.81196581195</v>
      </c>
      <c r="P17" s="129">
        <f t="shared" si="7"/>
        <v>0.48428092741935486</v>
      </c>
      <c r="Q17" s="109">
        <f t="shared" si="8"/>
        <v>340947.96428571432</v>
      </c>
      <c r="R17" s="115">
        <f t="shared" si="23"/>
        <v>0.13056352885112374</v>
      </c>
      <c r="S17" s="106" t="str">
        <f t="shared" si="24"/>
        <v/>
      </c>
      <c r="T17" s="129">
        <f t="shared" si="9"/>
        <v>0.53616816964285718</v>
      </c>
      <c r="U17" s="131">
        <f t="shared" si="10"/>
        <v>5.5689102564102561E-2</v>
      </c>
      <c r="V17" s="62">
        <v>28</v>
      </c>
      <c r="W17" s="64">
        <v>31</v>
      </c>
      <c r="Y17" s="132">
        <f t="shared" si="11"/>
        <v>31</v>
      </c>
      <c r="Z17" s="133">
        <f t="shared" si="12"/>
        <v>1131.2805755395684</v>
      </c>
      <c r="AA17" s="17">
        <f t="shared" si="13"/>
        <v>635897.43589743588</v>
      </c>
      <c r="AB17" s="134">
        <f t="shared" si="14"/>
        <v>0.13213969237089401</v>
      </c>
      <c r="AC17" s="135">
        <f t="shared" si="25"/>
        <v>0.21196581196581196</v>
      </c>
      <c r="AD17" s="134">
        <f t="shared" si="26"/>
        <v>0.13056352885112374</v>
      </c>
      <c r="AE17" s="134">
        <f t="shared" si="15"/>
        <v>0.48428092741935486</v>
      </c>
      <c r="AF17" s="134">
        <f t="shared" si="16"/>
        <v>0.53616816964285718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-7</v>
      </c>
      <c r="E18" s="126">
        <v>-7</v>
      </c>
      <c r="F18" s="127">
        <f>DATA!E7</f>
        <v>1</v>
      </c>
      <c r="G18" s="128">
        <f>DATA!F7</f>
        <v>3788.8642857142854</v>
      </c>
      <c r="H18" s="128">
        <f>DATA!G7</f>
        <v>3788.8642857142854</v>
      </c>
      <c r="I18" s="125">
        <v>-26522.05</v>
      </c>
      <c r="J18" s="129">
        <f t="shared" si="3"/>
        <v>0</v>
      </c>
      <c r="K18" s="111">
        <f t="shared" si="21"/>
        <v>-1.1380358457444706E-2</v>
      </c>
      <c r="L18" s="112" t="str">
        <f t="shared" si="4"/>
        <v/>
      </c>
      <c r="M18" s="113">
        <f t="shared" si="5"/>
        <v>0</v>
      </c>
      <c r="N18" s="130">
        <f t="shared" si="28"/>
        <v>26522.05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-1.1380358457444706E-2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400</v>
      </c>
      <c r="E32" s="153">
        <f>SUM(E13:E31)</f>
        <v>587</v>
      </c>
      <c r="F32" s="154">
        <f>IFERROR(SUM(F13:F31)/G10,)</f>
        <v>1.6454010561285173</v>
      </c>
      <c r="G32" s="155">
        <f>IFERROR(SUM(G13:G31)/G10,)</f>
        <v>6493.0747183281755</v>
      </c>
      <c r="H32" s="155">
        <f>IFERROR(SUM(H13:H31)/G10,)</f>
        <v>4725.707546291469</v>
      </c>
      <c r="I32" s="155">
        <f>SUM(I13:I31)</f>
        <v>2330510.9500000002</v>
      </c>
      <c r="J32" s="156">
        <f>IFERROR(I32/C32,)</f>
        <v>0.7768369833333334</v>
      </c>
      <c r="K32" s="156">
        <f>SUM(K13:K31)</f>
        <v>0.99999999999999989</v>
      </c>
      <c r="L32" s="155">
        <f>SUM(L13:L31)</f>
        <v>25881.430938996444</v>
      </c>
      <c r="M32" s="155">
        <f>SUM(M13:M31)</f>
        <v>45900</v>
      </c>
      <c r="N32" s="155">
        <f>SUM(N13:N31)</f>
        <v>676144.97307692305</v>
      </c>
      <c r="O32" s="155">
        <f>SUM(O13:O31)</f>
        <v>216540.97435897432</v>
      </c>
      <c r="P32" s="157"/>
      <c r="Q32" s="152">
        <f>SUM(Q13:Q31)</f>
        <v>2611356.8412698414</v>
      </c>
      <c r="R32" s="156">
        <f>SUM(R13:R31)</f>
        <v>0.99999999999999989</v>
      </c>
      <c r="S32" s="155">
        <f>SUM(S13:S31)</f>
        <v>30950.587788732169</v>
      </c>
      <c r="T32" s="158">
        <f>IFERROR(Q32/C32,)</f>
        <v>0.87045228042328049</v>
      </c>
      <c r="U32" s="165"/>
      <c r="V32" s="166">
        <f>SUM(V13:V31)</f>
        <v>139</v>
      </c>
      <c r="W32" s="167">
        <f>SUM(W13:W31)</f>
        <v>154</v>
      </c>
      <c r="Y32" s="160">
        <f>SUM(Y13:Y31)</f>
        <v>146.25</v>
      </c>
      <c r="Z32" s="164">
        <f>SUM(Z13:Z31)</f>
        <v>5616.0000000000009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B2" sqref="B2:B7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483579</v>
      </c>
      <c r="C2" s="18">
        <v>86</v>
      </c>
      <c r="D2" s="18">
        <v>124</v>
      </c>
      <c r="E2" s="16">
        <f>IFERROR((D2/C2),"")</f>
        <v>1.441860465116279</v>
      </c>
      <c r="F2" s="17">
        <f>IFERROR((B2/C2),"")</f>
        <v>5623.0116279069771</v>
      </c>
      <c r="G2" s="17">
        <f>IFERROR((B2/D2),"")</f>
        <v>3899.8306451612902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557892</v>
      </c>
      <c r="C3" s="18">
        <v>87</v>
      </c>
      <c r="D3" s="18">
        <v>136</v>
      </c>
      <c r="E3" s="16">
        <f t="shared" ref="E3:E20" si="0">IFERROR((D3/C3),"")</f>
        <v>1.5632183908045978</v>
      </c>
      <c r="F3" s="17">
        <f t="shared" ref="F3:F20" si="1">IFERROR((B3/C3),"")</f>
        <v>6412.5517241379312</v>
      </c>
      <c r="G3" s="17">
        <f t="shared" ref="G3:G20" si="2">IFERROR((B3/D3),"")</f>
        <v>4102.1470588235297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449717</v>
      </c>
      <c r="C4" s="18">
        <v>82</v>
      </c>
      <c r="D4" s="18">
        <v>112</v>
      </c>
      <c r="E4" s="16">
        <f t="shared" si="0"/>
        <v>1.3658536585365855</v>
      </c>
      <c r="F4" s="17">
        <f t="shared" si="1"/>
        <v>5484.3536585365855</v>
      </c>
      <c r="G4" s="17">
        <f t="shared" si="2"/>
        <v>4015.3303571428573</v>
      </c>
    </row>
    <row r="5" spans="1:18" x14ac:dyDescent="0.3">
      <c r="A5" s="18" t="s">
        <v>66</v>
      </c>
      <c r="B5" s="175">
        <v>557892</v>
      </c>
      <c r="C5" s="18">
        <v>89</v>
      </c>
      <c r="D5" s="18">
        <v>144</v>
      </c>
      <c r="E5" s="16">
        <f t="shared" si="0"/>
        <v>1.6179775280898876</v>
      </c>
      <c r="F5" s="17">
        <f t="shared" si="1"/>
        <v>6268.4494382022476</v>
      </c>
      <c r="G5" s="17">
        <f t="shared" si="2"/>
        <v>3874.25</v>
      </c>
    </row>
    <row r="6" spans="1:18" x14ac:dyDescent="0.3">
      <c r="A6" s="18" t="s">
        <v>68</v>
      </c>
      <c r="B6" s="19">
        <v>307953</v>
      </c>
      <c r="C6" s="18">
        <v>63</v>
      </c>
      <c r="D6" s="18">
        <v>78</v>
      </c>
      <c r="E6" s="16">
        <f t="shared" si="0"/>
        <v>1.2380952380952381</v>
      </c>
      <c r="F6" s="17">
        <f t="shared" si="1"/>
        <v>4888.1428571428569</v>
      </c>
      <c r="G6" s="17">
        <f t="shared" si="2"/>
        <v>3948.1153846153848</v>
      </c>
    </row>
    <row r="7" spans="1:18" x14ac:dyDescent="0.3">
      <c r="A7" s="18" t="s">
        <v>69</v>
      </c>
      <c r="B7" s="19">
        <v>-26522.05</v>
      </c>
      <c r="C7" s="18">
        <v>-7</v>
      </c>
      <c r="D7" s="18">
        <v>-7</v>
      </c>
      <c r="E7" s="16">
        <f t="shared" si="0"/>
        <v>1</v>
      </c>
      <c r="F7" s="17">
        <f t="shared" si="1"/>
        <v>3788.8642857142854</v>
      </c>
      <c r="G7" s="17">
        <f t="shared" si="2"/>
        <v>3788.8642857142854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2026-10-29T09:22:23Z</dcterms:modified>
</cp:coreProperties>
</file>