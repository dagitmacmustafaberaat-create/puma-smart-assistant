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uyaka.kasa1\Desktop\"/>
    </mc:Choice>
  </mc:AlternateContent>
  <xr:revisionPtr revIDLastSave="0" documentId="13_ncr:1_{1A98809C-BDB0-4C60-A125-3A24B7B2A21A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SD KARNE" sheetId="1" r:id="rId1"/>
    <sheet name="DATA" sheetId="2" r:id="rId2"/>
    <sheet name="PRİM HAVUZU (SV SİSTEM)" sheetId="3" r:id="rId3"/>
  </sheets>
  <definedNames>
    <definedName name="_xlnm.Print_Area" localSheetId="0">'SD KARNE'!$A$1:$AI$32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V32" i="1"/>
  <c r="G28" i="1" l="1"/>
  <c r="F27" i="1"/>
  <c r="H26" i="1"/>
  <c r="G26" i="1"/>
  <c r="G12" i="2"/>
  <c r="F12" i="2"/>
  <c r="E12" i="2"/>
  <c r="F23" i="1" s="1"/>
  <c r="G11" i="2"/>
  <c r="H22" i="1" s="1"/>
  <c r="F11" i="2"/>
  <c r="E11" i="2"/>
  <c r="G10" i="2"/>
  <c r="F10" i="2"/>
  <c r="E10" i="2"/>
  <c r="G9" i="2"/>
  <c r="F9" i="2"/>
  <c r="E9" i="2"/>
  <c r="F20" i="1" s="1"/>
  <c r="G8" i="2"/>
  <c r="H19" i="1" s="1"/>
  <c r="F8" i="2"/>
  <c r="G19" i="1" s="1"/>
  <c r="E8" i="2"/>
  <c r="F19" i="1" s="1"/>
  <c r="G7" i="2"/>
  <c r="H18" i="1" s="1"/>
  <c r="F7" i="2"/>
  <c r="G18" i="1" s="1"/>
  <c r="E7" i="2"/>
  <c r="F18" i="1" s="1"/>
  <c r="G6" i="2"/>
  <c r="H17" i="1" s="1"/>
  <c r="F6" i="2"/>
  <c r="G17" i="1" s="1"/>
  <c r="E6" i="2"/>
  <c r="F17" i="1" s="1"/>
  <c r="G5" i="2"/>
  <c r="H16" i="1" s="1"/>
  <c r="F5" i="2"/>
  <c r="G16" i="1" s="1"/>
  <c r="E5" i="2"/>
  <c r="F16" i="1" s="1"/>
  <c r="G4" i="2"/>
  <c r="H15" i="1" s="1"/>
  <c r="F4" i="2"/>
  <c r="G15" i="1" s="1"/>
  <c r="E4" i="2"/>
  <c r="F15" i="1" s="1"/>
  <c r="G3" i="2"/>
  <c r="H14" i="1" s="1"/>
  <c r="F3" i="2"/>
  <c r="G14" i="1" s="1"/>
  <c r="E3" i="2"/>
  <c r="F14" i="1" s="1"/>
  <c r="G2" i="2"/>
  <c r="H13" i="1" s="1"/>
  <c r="F2" i="2"/>
  <c r="G13" i="1" s="1"/>
  <c r="E2" i="2"/>
  <c r="F13" i="1" s="1"/>
  <c r="AG31" i="1"/>
  <c r="Y31" i="1" s="1"/>
  <c r="H31" i="1"/>
  <c r="G31" i="1"/>
  <c r="F31" i="1"/>
  <c r="AG30" i="1"/>
  <c r="Y30" i="1" s="1"/>
  <c r="H30" i="1"/>
  <c r="G30" i="1"/>
  <c r="F30" i="1"/>
  <c r="AG29" i="1"/>
  <c r="Y29" i="1" s="1"/>
  <c r="H29" i="1"/>
  <c r="G29" i="1"/>
  <c r="F29" i="1"/>
  <c r="AG28" i="1"/>
  <c r="Y28" i="1" s="1"/>
  <c r="H28" i="1"/>
  <c r="F28" i="1"/>
  <c r="AG27" i="1"/>
  <c r="Y27" i="1" s="1"/>
  <c r="H27" i="1"/>
  <c r="G27" i="1"/>
  <c r="AG26" i="1"/>
  <c r="Y26" i="1" s="1"/>
  <c r="F26" i="1"/>
  <c r="AG25" i="1"/>
  <c r="Y25" i="1" s="1"/>
  <c r="H25" i="1"/>
  <c r="G25" i="1"/>
  <c r="F25" i="1"/>
  <c r="AG24" i="1"/>
  <c r="Y24" i="1" s="1"/>
  <c r="H24" i="1"/>
  <c r="G24" i="1"/>
  <c r="F24" i="1"/>
  <c r="AG23" i="1"/>
  <c r="Y23" i="1"/>
  <c r="H23" i="1"/>
  <c r="G23" i="1"/>
  <c r="AG22" i="1"/>
  <c r="Y22" i="1" s="1"/>
  <c r="G22" i="1"/>
  <c r="F22" i="1"/>
  <c r="AG21" i="1"/>
  <c r="Y21" i="1" s="1"/>
  <c r="H21" i="1"/>
  <c r="G21" i="1"/>
  <c r="F21" i="1"/>
  <c r="AG20" i="1"/>
  <c r="Y20" i="1" s="1"/>
  <c r="H20" i="1"/>
  <c r="G20" i="1"/>
  <c r="AG19" i="1"/>
  <c r="Y19" i="1" s="1"/>
  <c r="AG18" i="1"/>
  <c r="Y18" i="1" s="1"/>
  <c r="AG17" i="1"/>
  <c r="Y17" i="1" s="1"/>
  <c r="AG16" i="1"/>
  <c r="Y16" i="1" s="1"/>
  <c r="AG15" i="1"/>
  <c r="Y15" i="1" s="1"/>
  <c r="AG14" i="1"/>
  <c r="Y14" i="1" s="1"/>
  <c r="AG13" i="1"/>
  <c r="Y13" i="1" s="1"/>
  <c r="I13" i="1" a="1"/>
  <c r="I30" i="1" s="1"/>
  <c r="E13" i="1" a="1"/>
  <c r="E31" i="1" s="1"/>
  <c r="D13" i="1" a="1"/>
  <c r="D30" i="1" s="1"/>
  <c r="B13" i="1" a="1"/>
  <c r="B24" i="1" s="1"/>
  <c r="A11" i="1"/>
  <c r="M11" i="1" s="1"/>
  <c r="N10" i="1"/>
  <c r="D4" i="1" s="1"/>
  <c r="I10" i="1"/>
  <c r="K1" i="1"/>
  <c r="J1" i="1"/>
  <c r="I1" i="1"/>
  <c r="H1" i="1"/>
  <c r="G1" i="1"/>
  <c r="F1" i="1"/>
  <c r="E1" i="1"/>
  <c r="D1" i="1"/>
  <c r="C1" i="1"/>
  <c r="B1" i="1"/>
  <c r="A1" i="1"/>
  <c r="N11" i="1" l="1"/>
  <c r="B11" i="1" s="1"/>
  <c r="M10" i="1" s="1"/>
  <c r="Q30" i="1"/>
  <c r="E4" i="1"/>
  <c r="I4" i="1"/>
  <c r="Z19" i="1"/>
  <c r="Z22" i="1"/>
  <c r="Z25" i="1"/>
  <c r="Z17" i="1"/>
  <c r="Z23" i="1"/>
  <c r="Z15" i="1"/>
  <c r="Z26" i="1"/>
  <c r="Z18" i="1"/>
  <c r="Z24" i="1"/>
  <c r="Z16" i="1"/>
  <c r="B18" i="1"/>
  <c r="B27" i="1"/>
  <c r="D15" i="1"/>
  <c r="D24" i="1"/>
  <c r="A4" i="1"/>
  <c r="J4" i="1"/>
  <c r="I28" i="1"/>
  <c r="B19" i="1"/>
  <c r="B28" i="1"/>
  <c r="D16" i="1"/>
  <c r="D25" i="1"/>
  <c r="E15" i="1"/>
  <c r="E24" i="1"/>
  <c r="I19" i="1"/>
  <c r="Q19" i="1" s="1"/>
  <c r="B4" i="1"/>
  <c r="K10" i="1"/>
  <c r="B20" i="1"/>
  <c r="I20" i="1"/>
  <c r="I29" i="1"/>
  <c r="B29" i="1"/>
  <c r="D17" i="1"/>
  <c r="D27" i="1"/>
  <c r="E16" i="1"/>
  <c r="E25" i="1"/>
  <c r="B13" i="1"/>
  <c r="B21" i="1"/>
  <c r="B30" i="1"/>
  <c r="D19" i="1"/>
  <c r="D28" i="1"/>
  <c r="E17" i="1"/>
  <c r="E26" i="1"/>
  <c r="I13" i="1"/>
  <c r="I21" i="1"/>
  <c r="Z14" i="1"/>
  <c r="Z20" i="1"/>
  <c r="I31" i="1"/>
  <c r="I23" i="1"/>
  <c r="I15" i="1"/>
  <c r="I22" i="1"/>
  <c r="AG32" i="1"/>
  <c r="AI13" i="1" s="1"/>
  <c r="K4" i="1"/>
  <c r="C4" i="1"/>
  <c r="B14" i="1"/>
  <c r="D13" i="1"/>
  <c r="D21" i="1"/>
  <c r="E19" i="1"/>
  <c r="E28" i="1"/>
  <c r="I14" i="1"/>
  <c r="I24" i="1"/>
  <c r="D26" i="1"/>
  <c r="D18" i="1"/>
  <c r="D22" i="1"/>
  <c r="D31" i="1"/>
  <c r="E20" i="1"/>
  <c r="E29" i="1"/>
  <c r="I16" i="1"/>
  <c r="I25" i="1"/>
  <c r="Y32" i="1"/>
  <c r="AA16" i="1" s="1"/>
  <c r="Z21" i="1"/>
  <c r="Z27" i="1"/>
  <c r="B31" i="1"/>
  <c r="B23" i="1"/>
  <c r="B15" i="1"/>
  <c r="B22" i="1"/>
  <c r="D20" i="1"/>
  <c r="D29" i="1"/>
  <c r="E18" i="1"/>
  <c r="E27" i="1"/>
  <c r="F4" i="1"/>
  <c r="G4" i="1"/>
  <c r="O10" i="1"/>
  <c r="B16" i="1"/>
  <c r="B25" i="1"/>
  <c r="H4" i="1"/>
  <c r="B17" i="1"/>
  <c r="B26" i="1"/>
  <c r="D14" i="1"/>
  <c r="D23" i="1"/>
  <c r="E13" i="1"/>
  <c r="E21" i="1"/>
  <c r="I17" i="1"/>
  <c r="Q17" i="1" s="1"/>
  <c r="I26" i="1"/>
  <c r="Z13" i="1"/>
  <c r="E30" i="1"/>
  <c r="E22" i="1"/>
  <c r="E14" i="1"/>
  <c r="E23" i="1"/>
  <c r="I18" i="1"/>
  <c r="Q18" i="1" s="1"/>
  <c r="I27" i="1"/>
  <c r="Z29" i="1"/>
  <c r="Z31" i="1"/>
  <c r="Z28" i="1"/>
  <c r="Z30" i="1"/>
  <c r="U30" i="1" s="1"/>
  <c r="I32" i="1" l="1"/>
  <c r="K13" i="1" s="1"/>
  <c r="E32" i="1"/>
  <c r="D32" i="1"/>
  <c r="U16" i="1"/>
  <c r="U25" i="1"/>
  <c r="U23" i="1"/>
  <c r="U14" i="1"/>
  <c r="U21" i="1"/>
  <c r="U17" i="1"/>
  <c r="U31" i="1"/>
  <c r="U28" i="1"/>
  <c r="U19" i="1"/>
  <c r="U24" i="1"/>
  <c r="U18" i="1"/>
  <c r="H10" i="1"/>
  <c r="J10" i="1" s="1"/>
  <c r="L10" i="1" s="1"/>
  <c r="U20" i="1"/>
  <c r="C16" i="1"/>
  <c r="N16" i="1" s="1"/>
  <c r="O16" i="1" s="1"/>
  <c r="AA29" i="1"/>
  <c r="AA25" i="1"/>
  <c r="H5" i="1"/>
  <c r="F5" i="1"/>
  <c r="E5" i="1"/>
  <c r="D5" i="1"/>
  <c r="K5" i="1"/>
  <c r="B5" i="1"/>
  <c r="J5" i="1"/>
  <c r="A5" i="1"/>
  <c r="I5" i="1"/>
  <c r="G5" i="1"/>
  <c r="C5" i="1"/>
  <c r="AA14" i="1"/>
  <c r="AA17" i="1"/>
  <c r="Q25" i="1"/>
  <c r="AA22" i="1"/>
  <c r="Q15" i="1"/>
  <c r="Q20" i="1"/>
  <c r="AA15" i="1"/>
  <c r="AA31" i="1"/>
  <c r="U26" i="1"/>
  <c r="Q13" i="1"/>
  <c r="AA20" i="1"/>
  <c r="Q21" i="1"/>
  <c r="AA13" i="1"/>
  <c r="Q16" i="1"/>
  <c r="AA30" i="1"/>
  <c r="U13" i="1"/>
  <c r="AA18" i="1"/>
  <c r="Q31" i="1"/>
  <c r="AA28" i="1"/>
  <c r="Q29" i="1"/>
  <c r="Q23" i="1"/>
  <c r="Q27" i="1"/>
  <c r="Q28" i="1"/>
  <c r="AA27" i="1"/>
  <c r="AA23" i="1"/>
  <c r="AA24" i="1"/>
  <c r="Q14" i="1"/>
  <c r="AH27" i="1"/>
  <c r="AH19" i="1"/>
  <c r="AH30" i="1"/>
  <c r="AH22" i="1"/>
  <c r="AH25" i="1"/>
  <c r="AH17" i="1"/>
  <c r="AH28" i="1"/>
  <c r="AH31" i="1"/>
  <c r="AH23" i="1"/>
  <c r="AH15" i="1"/>
  <c r="AH26" i="1"/>
  <c r="AH18" i="1"/>
  <c r="AH29" i="1"/>
  <c r="AH24" i="1"/>
  <c r="AH16" i="1"/>
  <c r="AH14" i="1"/>
  <c r="AH20" i="1"/>
  <c r="AH13" i="1"/>
  <c r="AI16" i="1"/>
  <c r="AI15" i="1"/>
  <c r="AH21" i="1"/>
  <c r="AI17" i="1"/>
  <c r="AI14" i="1"/>
  <c r="Q22" i="1"/>
  <c r="AA21" i="1"/>
  <c r="U15" i="1"/>
  <c r="AA19" i="1"/>
  <c r="Z32" i="1"/>
  <c r="Q26" i="1"/>
  <c r="U29" i="1"/>
  <c r="U22" i="1"/>
  <c r="Q24" i="1"/>
  <c r="U27" i="1"/>
  <c r="AA26" i="1"/>
  <c r="AB13" i="1" l="1"/>
  <c r="AI29" i="1"/>
  <c r="Q32" i="1"/>
  <c r="AD31" i="1" s="1"/>
  <c r="F32" i="1"/>
  <c r="H32" i="1"/>
  <c r="G32" i="1"/>
  <c r="AI25" i="1"/>
  <c r="AI18" i="1"/>
  <c r="AE16" i="1"/>
  <c r="AJ16" i="1" s="1"/>
  <c r="AI24" i="1"/>
  <c r="AI20" i="1"/>
  <c r="AI28" i="1"/>
  <c r="K24" i="1"/>
  <c r="K14" i="1"/>
  <c r="K15" i="1"/>
  <c r="AB24" i="1"/>
  <c r="K27" i="1"/>
  <c r="AB27" i="1"/>
  <c r="K28" i="1"/>
  <c r="AB25" i="1"/>
  <c r="K21" i="1"/>
  <c r="AB31" i="1"/>
  <c r="K19" i="1"/>
  <c r="K22" i="1"/>
  <c r="K29" i="1"/>
  <c r="K20" i="1"/>
  <c r="AB21" i="1"/>
  <c r="K17" i="1"/>
  <c r="AB19" i="1"/>
  <c r="AB22" i="1"/>
  <c r="AB29" i="1"/>
  <c r="AB26" i="1"/>
  <c r="AB18" i="1"/>
  <c r="K16" i="1"/>
  <c r="K26" i="1"/>
  <c r="AB14" i="1"/>
  <c r="K18" i="1"/>
  <c r="AB20" i="1"/>
  <c r="P16" i="1"/>
  <c r="AI23" i="1"/>
  <c r="AI27" i="1"/>
  <c r="AB23" i="1"/>
  <c r="K31" i="1"/>
  <c r="AB16" i="1"/>
  <c r="AB17" i="1"/>
  <c r="K25" i="1"/>
  <c r="AI31" i="1"/>
  <c r="AB28" i="1"/>
  <c r="K23" i="1"/>
  <c r="J16" i="1"/>
  <c r="C30" i="1"/>
  <c r="AA32" i="1"/>
  <c r="C13" i="1"/>
  <c r="AF13" i="1" s="1"/>
  <c r="AK13" i="1" s="1"/>
  <c r="C31" i="1"/>
  <c r="T31" i="1" s="1"/>
  <c r="S31" i="1" s="1"/>
  <c r="C23" i="1"/>
  <c r="AF23" i="1" s="1"/>
  <c r="AK23" i="1" s="1"/>
  <c r="C14" i="1"/>
  <c r="AF14" i="1" s="1"/>
  <c r="AK14" i="1" s="1"/>
  <c r="C21" i="1"/>
  <c r="T21" i="1" s="1"/>
  <c r="S21" i="1" s="1"/>
  <c r="C19" i="1"/>
  <c r="C26" i="1"/>
  <c r="AF26" i="1" s="1"/>
  <c r="AK26" i="1" s="1"/>
  <c r="T16" i="1"/>
  <c r="AF16" i="1"/>
  <c r="AK16" i="1" s="1"/>
  <c r="C25" i="1"/>
  <c r="AI21" i="1"/>
  <c r="AI22" i="1"/>
  <c r="C29" i="1"/>
  <c r="AF29" i="1" s="1"/>
  <c r="AK29" i="1" s="1"/>
  <c r="C22" i="1"/>
  <c r="AF22" i="1" s="1"/>
  <c r="AK22" i="1" s="1"/>
  <c r="AI30" i="1"/>
  <c r="C18" i="1"/>
  <c r="C20" i="1"/>
  <c r="AF20" i="1" s="1"/>
  <c r="AK20" i="1" s="1"/>
  <c r="C27" i="1"/>
  <c r="AI26" i="1"/>
  <c r="AH32" i="1"/>
  <c r="AI19" i="1"/>
  <c r="C24" i="1"/>
  <c r="T24" i="1" s="1"/>
  <c r="S24" i="1" s="1"/>
  <c r="C28" i="1"/>
  <c r="AF28" i="1" s="1"/>
  <c r="AK28" i="1" s="1"/>
  <c r="B9" i="1"/>
  <c r="AB30" i="1"/>
  <c r="K30" i="1"/>
  <c r="C15" i="1"/>
  <c r="T15" i="1" s="1"/>
  <c r="AB15" i="1"/>
  <c r="C17" i="1"/>
  <c r="T13" i="1" l="1"/>
  <c r="T23" i="1"/>
  <c r="S23" i="1" s="1"/>
  <c r="AF15" i="1"/>
  <c r="AK15" i="1" s="1"/>
  <c r="T14" i="1"/>
  <c r="R14" i="1"/>
  <c r="R16" i="1"/>
  <c r="R20" i="1"/>
  <c r="AF24" i="1"/>
  <c r="AK24" i="1" s="1"/>
  <c r="K32" i="1"/>
  <c r="AD14" i="1"/>
  <c r="N31" i="1"/>
  <c r="O31" i="1" s="1"/>
  <c r="J31" i="1"/>
  <c r="L31" i="1" s="1"/>
  <c r="AE31" i="1"/>
  <c r="AJ31" i="1" s="1"/>
  <c r="P31" i="1"/>
  <c r="N25" i="1"/>
  <c r="O25" i="1" s="1"/>
  <c r="P25" i="1"/>
  <c r="AE25" i="1"/>
  <c r="AJ25" i="1" s="1"/>
  <c r="J25" i="1"/>
  <c r="L25" i="1" s="1"/>
  <c r="N24" i="1"/>
  <c r="O24" i="1" s="1"/>
  <c r="AE24" i="1"/>
  <c r="AJ24" i="1" s="1"/>
  <c r="J24" i="1"/>
  <c r="L24" i="1" s="1"/>
  <c r="P24" i="1"/>
  <c r="R25" i="1"/>
  <c r="R21" i="1"/>
  <c r="N26" i="1"/>
  <c r="O26" i="1" s="1"/>
  <c r="AE26" i="1"/>
  <c r="AJ26" i="1" s="1"/>
  <c r="P26" i="1"/>
  <c r="J26" i="1"/>
  <c r="L26" i="1" s="1"/>
  <c r="AF31" i="1"/>
  <c r="AK31" i="1" s="1"/>
  <c r="N18" i="1"/>
  <c r="O18" i="1" s="1"/>
  <c r="T18" i="1"/>
  <c r="AF18" i="1"/>
  <c r="AK18" i="1" s="1"/>
  <c r="AE18" i="1"/>
  <c r="AJ18" i="1" s="1"/>
  <c r="J18" i="1"/>
  <c r="P18" i="1"/>
  <c r="AD26" i="1"/>
  <c r="AD21" i="1"/>
  <c r="R31" i="1"/>
  <c r="C32" i="1"/>
  <c r="T32" i="1" s="1"/>
  <c r="N13" i="1"/>
  <c r="P13" i="1"/>
  <c r="J13" i="1"/>
  <c r="AE13" i="1"/>
  <c r="AJ13" i="1" s="1"/>
  <c r="AD25" i="1"/>
  <c r="N15" i="1"/>
  <c r="O15" i="1" s="1"/>
  <c r="AE15" i="1"/>
  <c r="AJ15" i="1" s="1"/>
  <c r="J15" i="1"/>
  <c r="P15" i="1"/>
  <c r="R26" i="1"/>
  <c r="N19" i="1"/>
  <c r="O19" i="1" s="1"/>
  <c r="T19" i="1"/>
  <c r="AF19" i="1"/>
  <c r="AK19" i="1" s="1"/>
  <c r="J19" i="1"/>
  <c r="P19" i="1"/>
  <c r="AE19" i="1"/>
  <c r="AJ19" i="1" s="1"/>
  <c r="N21" i="1"/>
  <c r="O21" i="1" s="1"/>
  <c r="AE21" i="1"/>
  <c r="AJ21" i="1" s="1"/>
  <c r="P21" i="1"/>
  <c r="J21" i="1"/>
  <c r="L21" i="1" s="1"/>
  <c r="R17" i="1"/>
  <c r="AD17" i="1"/>
  <c r="AD18" i="1"/>
  <c r="AD19" i="1"/>
  <c r="R19" i="1"/>
  <c r="R18" i="1"/>
  <c r="R30" i="1"/>
  <c r="AD30" i="1"/>
  <c r="AF17" i="1"/>
  <c r="AK17" i="1" s="1"/>
  <c r="T17" i="1"/>
  <c r="N17" i="1"/>
  <c r="O17" i="1" s="1"/>
  <c r="AE17" i="1"/>
  <c r="AJ17" i="1" s="1"/>
  <c r="J17" i="1"/>
  <c r="P17" i="1"/>
  <c r="N27" i="1"/>
  <c r="O27" i="1" s="1"/>
  <c r="P27" i="1"/>
  <c r="AE27" i="1"/>
  <c r="AJ27" i="1" s="1"/>
  <c r="J27" i="1"/>
  <c r="L27" i="1" s="1"/>
  <c r="T25" i="1"/>
  <c r="S25" i="1" s="1"/>
  <c r="N20" i="1"/>
  <c r="O20" i="1" s="1"/>
  <c r="P20" i="1"/>
  <c r="AE20" i="1"/>
  <c r="AJ20" i="1" s="1"/>
  <c r="J20" i="1"/>
  <c r="L20" i="1" s="1"/>
  <c r="R27" i="1"/>
  <c r="T26" i="1"/>
  <c r="S26" i="1" s="1"/>
  <c r="AF25" i="1"/>
  <c r="AK25" i="1" s="1"/>
  <c r="R23" i="1"/>
  <c r="R22" i="1"/>
  <c r="T20" i="1"/>
  <c r="S20" i="1" s="1"/>
  <c r="E9" i="1"/>
  <c r="D9" i="1"/>
  <c r="P10" i="1" s="1"/>
  <c r="C9" i="1"/>
  <c r="M2" i="1"/>
  <c r="AD27" i="1"/>
  <c r="AD23" i="1"/>
  <c r="AF21" i="1"/>
  <c r="AK21" i="1" s="1"/>
  <c r="R29" i="1"/>
  <c r="R28" i="1"/>
  <c r="AD13" i="1"/>
  <c r="AD22" i="1"/>
  <c r="AD20" i="1"/>
  <c r="AD24" i="1"/>
  <c r="R15" i="1"/>
  <c r="T27" i="1"/>
  <c r="S27" i="1" s="1"/>
  <c r="N22" i="1"/>
  <c r="O22" i="1" s="1"/>
  <c r="P22" i="1"/>
  <c r="AE22" i="1"/>
  <c r="AJ22" i="1" s="1"/>
  <c r="J22" i="1"/>
  <c r="L22" i="1" s="1"/>
  <c r="R13" i="1"/>
  <c r="AD28" i="1"/>
  <c r="T22" i="1"/>
  <c r="S22" i="1" s="1"/>
  <c r="N14" i="1"/>
  <c r="O14" i="1" s="1"/>
  <c r="AE14" i="1"/>
  <c r="AJ14" i="1" s="1"/>
  <c r="J14" i="1"/>
  <c r="P14" i="1"/>
  <c r="AD29" i="1"/>
  <c r="N28" i="1"/>
  <c r="O28" i="1" s="1"/>
  <c r="J28" i="1"/>
  <c r="L28" i="1" s="1"/>
  <c r="P28" i="1"/>
  <c r="AE28" i="1"/>
  <c r="AJ28" i="1" s="1"/>
  <c r="R24" i="1"/>
  <c r="AD15" i="1"/>
  <c r="AF27" i="1"/>
  <c r="AK27" i="1" s="1"/>
  <c r="N29" i="1"/>
  <c r="O29" i="1" s="1"/>
  <c r="AE29" i="1"/>
  <c r="AJ29" i="1" s="1"/>
  <c r="J29" i="1"/>
  <c r="L29" i="1" s="1"/>
  <c r="P29" i="1"/>
  <c r="T28" i="1"/>
  <c r="S28" i="1" s="1"/>
  <c r="AD16" i="1"/>
  <c r="N23" i="1"/>
  <c r="O23" i="1" s="1"/>
  <c r="J23" i="1"/>
  <c r="L23" i="1" s="1"/>
  <c r="AE23" i="1"/>
  <c r="AJ23" i="1" s="1"/>
  <c r="P23" i="1"/>
  <c r="T29" i="1"/>
  <c r="S29" i="1" s="1"/>
  <c r="N30" i="1"/>
  <c r="O30" i="1" s="1"/>
  <c r="AE30" i="1"/>
  <c r="AJ30" i="1" s="1"/>
  <c r="J30" i="1"/>
  <c r="L30" i="1" s="1"/>
  <c r="P30" i="1"/>
  <c r="AF30" i="1"/>
  <c r="AK30" i="1" s="1"/>
  <c r="T30" i="1"/>
  <c r="S30" i="1" s="1"/>
  <c r="L17" i="1" l="1"/>
  <c r="L14" i="1"/>
  <c r="S15" i="1"/>
  <c r="S14" i="1"/>
  <c r="L16" i="1"/>
  <c r="S18" i="1"/>
  <c r="L19" i="1"/>
  <c r="S19" i="1"/>
  <c r="L18" i="1"/>
  <c r="S17" i="1"/>
  <c r="S16" i="1"/>
  <c r="L13" i="1"/>
  <c r="S13" i="1"/>
  <c r="R32" i="1"/>
  <c r="L15" i="1"/>
  <c r="N32" i="1"/>
  <c r="O13" i="1"/>
  <c r="O32" i="1" s="1"/>
  <c r="AC16" i="1"/>
  <c r="M16" i="1" s="1"/>
  <c r="AC30" i="1"/>
  <c r="M30" i="1" s="1"/>
  <c r="J32" i="1"/>
  <c r="AC19" i="1"/>
  <c r="M19" i="1" s="1"/>
  <c r="AC22" i="1"/>
  <c r="M22" i="1" s="1"/>
  <c r="AC20" i="1"/>
  <c r="M20" i="1" s="1"/>
  <c r="AC15" i="1"/>
  <c r="M15" i="1" s="1"/>
  <c r="AC14" i="1"/>
  <c r="M14" i="1" s="1"/>
  <c r="AC18" i="1"/>
  <c r="M18" i="1" s="1"/>
  <c r="AC27" i="1"/>
  <c r="M27" i="1" s="1"/>
  <c r="AC29" i="1"/>
  <c r="M29" i="1" s="1"/>
  <c r="AC13" i="1"/>
  <c r="M13" i="1" s="1"/>
  <c r="AC17" i="1"/>
  <c r="M17" i="1" s="1"/>
  <c r="AC21" i="1"/>
  <c r="M21" i="1" s="1"/>
  <c r="AC26" i="1"/>
  <c r="M26" i="1" s="1"/>
  <c r="AC25" i="1"/>
  <c r="M25" i="1" s="1"/>
  <c r="AC24" i="1"/>
  <c r="M24" i="1" s="1"/>
  <c r="AC23" i="1"/>
  <c r="M23" i="1" s="1"/>
  <c r="AC31" i="1"/>
  <c r="M31" i="1" s="1"/>
  <c r="AC28" i="1"/>
  <c r="M28" i="1" s="1"/>
  <c r="S32" i="1" l="1"/>
  <c r="L32" i="1"/>
  <c r="M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Emir Şahbaz</author>
    <author>ugur.ozenmez</author>
  </authors>
  <commentList>
    <comment ref="A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MAĞAZA HEDEFİNİ GİRİNİZ</t>
        </r>
      </text>
    </comment>
    <comment ref="G10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ÇALIŞAN SAYINIZI GİRİNİZ
</t>
        </r>
      </text>
    </comment>
    <comment ref="C11" authorId="1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MÜŞTERİ GİRİŞİNİZİ GİRİNİZ</t>
        </r>
      </text>
    </comment>
  </commentList>
</comments>
</file>

<file path=xl/sharedStrings.xml><?xml version="1.0" encoding="utf-8"?>
<sst xmlns="http://schemas.openxmlformats.org/spreadsheetml/2006/main" count="98" uniqueCount="70">
  <si>
    <t>SD PAYI</t>
  </si>
  <si>
    <t>Var</t>
  </si>
  <si>
    <t>Yok</t>
  </si>
  <si>
    <t>HEDEF</t>
  </si>
  <si>
    <t>CİRO</t>
  </si>
  <si>
    <t>HGO %</t>
  </si>
  <si>
    <t>PRİM HAVUZU</t>
  </si>
  <si>
    <t>FULL SD SAYISI</t>
  </si>
  <si>
    <t>ÇALIŞILAN GÜN SAYISI</t>
  </si>
  <si>
    <t>MÜŞTERİ GİRİŞİ</t>
  </si>
  <si>
    <t>GÜNLÜK GİRİŞ SAYISI</t>
  </si>
  <si>
    <t>SD BAŞINA MÜŞTERİ GİRİŞİ</t>
  </si>
  <si>
    <t>GÜNLÜK SD MÜŞTERİ GİRİŞİ</t>
  </si>
  <si>
    <t>KALAN GÜN SAYISI</t>
  </si>
  <si>
    <t>MY PAYI</t>
  </si>
  <si>
    <t>HGO</t>
  </si>
  <si>
    <t>PRİM ÇARPANI</t>
  </si>
  <si>
    <t>TARİH</t>
  </si>
  <si>
    <t>GÜN SAYISI</t>
  </si>
  <si>
    <t>GÖREVİ</t>
  </si>
  <si>
    <t>ADI SOYADI</t>
  </si>
  <si>
    <t>BİREYSEL HEDEF</t>
  </si>
  <si>
    <t>FATURA SAYISI</t>
  </si>
  <si>
    <t>ADET</t>
  </si>
  <si>
    <t>UPT</t>
  </si>
  <si>
    <t>ATV</t>
  </si>
  <si>
    <t>ASP</t>
  </si>
  <si>
    <t>GERÇEKLEŞEN CİRO</t>
  </si>
  <si>
    <t xml:space="preserve"> GERÇEKLEŞEN HGO</t>
  </si>
  <si>
    <t>CİRO PAYI</t>
  </si>
  <si>
    <t>GERÇEKLEŞEN KAZANÇ</t>
  </si>
  <si>
    <t xml:space="preserve">HGO %100 </t>
  </si>
  <si>
    <t>HEDEFE KALAN TL</t>
  </si>
  <si>
    <t>GÜNLÜK HEDEF</t>
  </si>
  <si>
    <t>AYSONU CİRO</t>
  </si>
  <si>
    <t>AYSONU KAZANÇ</t>
  </si>
  <si>
    <t>AYSONU HGO %</t>
  </si>
  <si>
    <t>KİŞİSEL CR</t>
  </si>
  <si>
    <t>ÇALIŞTIĞI GÜN</t>
  </si>
  <si>
    <t>ÇALIŞACAĞI GÜN</t>
  </si>
  <si>
    <t>PERSONEL YAPISINA GÖRE ÇALIŞMA GÜN SAYISI</t>
  </si>
  <si>
    <t>CR HESAP</t>
  </si>
  <si>
    <t>PERSONEL YAPISINA GÖRE HEDEF</t>
  </si>
  <si>
    <t>ANLIK CİRO PAYI</t>
  </si>
  <si>
    <t>HEDEF PAYI</t>
  </si>
  <si>
    <t>AY SONU CİRO PAYI</t>
  </si>
  <si>
    <t>ANLIK HGO</t>
  </si>
  <si>
    <t>AYSONU HGO</t>
  </si>
  <si>
    <t>anlık</t>
  </si>
  <si>
    <t>aysonu</t>
  </si>
  <si>
    <t>Supervisor</t>
  </si>
  <si>
    <t>Satış Görevlisi</t>
  </si>
  <si>
    <t>Mağaza Toplamı</t>
  </si>
  <si>
    <t>SİNEM PALAZ</t>
  </si>
  <si>
    <t>CEM AKTAŞ</t>
  </si>
  <si>
    <t>FAST SPOR 2025</t>
  </si>
  <si>
    <t>MAĞAZA CİROSUNA GÖRE TOPLAM PRİM</t>
  </si>
  <si>
    <t>MAĞAZA MÜDÜRÜ PAYI</t>
  </si>
  <si>
    <t>SUPERVISOR PAYI</t>
  </si>
  <si>
    <t>SATIŞ DANIŞMANI PAYI</t>
  </si>
  <si>
    <t>min ciro</t>
  </si>
  <si>
    <t>max ciro</t>
  </si>
  <si>
    <t>Mevcut Çarpan</t>
  </si>
  <si>
    <t>MM</t>
  </si>
  <si>
    <t>SV</t>
  </si>
  <si>
    <t>SD</t>
  </si>
  <si>
    <t>MERVE ÇETİN</t>
  </si>
  <si>
    <t>SERKAN CANİK</t>
  </si>
  <si>
    <t>ECE NUR TEMÜR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</si>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</sst>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\ &quot;₺&quot;"/>
    <numFmt numFmtId="165" formatCode="[$-41F]0"/>
    <numFmt numFmtId="166" formatCode="&quot;₺&quot;#,##0"/>
    <numFmt numFmtId="167" formatCode="#,##0\ &quot;₺&quot;"/>
    <numFmt numFmtId="168" formatCode="[$-41F]#,##0.00"/>
    <numFmt numFmtId="169" formatCode="%0.00"/>
    <numFmt numFmtId="170" formatCode="#,##0&quot; &quot;[$₺-41F]"/>
    <numFmt numFmtId="171" formatCode="%0.0"/>
    <numFmt numFmtId="172" formatCode="0.000"/>
    <numFmt numFmtId="173" formatCode="&quot;₺&quot;#,##0.00"/>
    <numFmt numFmtId="174" formatCode="0.000000000"/>
    <numFmt numFmtId="175" formatCode="[$-41F]#,##0"/>
    <numFmt numFmtId="176" formatCode="%0"/>
    <numFmt numFmtId="177" formatCode="[$-41F]dd&quot;.&quot;mm&quot;.&quot;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b/>
      <sz val="8"/>
      <color rgb="FF000000"/>
      <name val="Calibri"/>
      <family val="2"/>
      <charset val="162"/>
    </font>
    <font>
      <b/>
      <sz val="6"/>
      <color rgb="FF000000"/>
      <name val="Calibri"/>
      <family val="2"/>
      <charset val="162"/>
    </font>
    <font>
      <b/>
      <sz val="11"/>
      <color theme="0"/>
      <name val="Arial"/>
      <family val="2"/>
      <charset val="162"/>
    </font>
    <font>
      <sz val="12"/>
      <color rgb="FFFFFFFF"/>
      <name val="Calibri"/>
      <family val="2"/>
      <charset val="162"/>
    </font>
    <font>
      <b/>
      <sz val="10"/>
      <color rgb="FFFF0000"/>
      <name val="Calibri"/>
      <family val="2"/>
      <charset val="162"/>
    </font>
    <font>
      <sz val="10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b/>
      <sz val="10"/>
      <color theme="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</font>
    <font>
      <b/>
      <sz val="14"/>
      <color theme="1" tint="0.249977111117893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charset val="16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1" tint="0.14999847407452621"/>
        <bgColor rgb="FFC0C0C0"/>
      </patternFill>
    </fill>
    <fill>
      <patternFill patternType="solid">
        <fgColor theme="1" tint="0.14999847407452621"/>
        <bgColor rgb="FF99CCFF"/>
      </patternFill>
    </fill>
    <fill>
      <patternFill patternType="solid">
        <fgColor rgb="FFFFFF00"/>
        <bgColor rgb="FF99CCFF"/>
      </patternFill>
    </fill>
    <fill>
      <patternFill patternType="solid">
        <fgColor theme="0"/>
        <bgColor rgb="FF99CCFF"/>
      </patternFill>
    </fill>
    <fill>
      <patternFill patternType="solid">
        <fgColor theme="2" tint="-0.749992370372631"/>
        <bgColor rgb="FFC0C0C0"/>
      </patternFill>
    </fill>
    <fill>
      <patternFill patternType="solid">
        <fgColor theme="1" tint="0.249977111117893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/>
    <xf numFmtId="0" fontId="16" fillId="0" borderId="0"/>
  </cellStyleXfs>
  <cellXfs count="187">
    <xf numFmtId="0" fontId="0" fillId="0" borderId="0" xfId="0"/>
    <xf numFmtId="0" fontId="5" fillId="0" borderId="0" xfId="0" applyFont="1" applyAlignment="1" applyProtection="1">
      <alignment horizontal="center" vertical="center"/>
      <protection hidden="1"/>
    </xf>
    <xf numFmtId="164" fontId="5" fillId="0" borderId="0" xfId="1" applyNumberFormat="1" applyFont="1" applyAlignment="1" applyProtection="1">
      <alignment horizontal="center" vertical="center"/>
      <protection hidden="1"/>
    </xf>
    <xf numFmtId="165" fontId="13" fillId="10" borderId="5" xfId="0" applyNumberFormat="1" applyFont="1" applyFill="1" applyBorder="1" applyAlignment="1">
      <alignment horizontal="center" vertical="center"/>
    </xf>
    <xf numFmtId="165" fontId="13" fillId="10" borderId="6" xfId="0" applyNumberFormat="1" applyFont="1" applyFill="1" applyBorder="1" applyAlignment="1">
      <alignment horizontal="center" vertical="center" wrapText="1"/>
    </xf>
    <xf numFmtId="165" fontId="13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13" fillId="10" borderId="6" xfId="0" applyNumberFormat="1" applyFont="1" applyFill="1" applyBorder="1" applyAlignment="1">
      <alignment horizontal="center" vertical="center"/>
    </xf>
    <xf numFmtId="9" fontId="15" fillId="16" borderId="7" xfId="0" applyNumberFormat="1" applyFont="1" applyFill="1" applyBorder="1" applyAlignment="1" applyProtection="1">
      <alignment horizontal="center" vertical="center"/>
      <protection hidden="1"/>
    </xf>
    <xf numFmtId="9" fontId="15" fillId="0" borderId="8" xfId="0" applyNumberFormat="1" applyFont="1" applyBorder="1" applyAlignment="1" applyProtection="1">
      <alignment horizontal="center" vertical="center"/>
      <protection hidden="1"/>
    </xf>
    <xf numFmtId="167" fontId="0" fillId="0" borderId="0" xfId="0" applyNumberFormat="1" applyProtection="1">
      <protection hidden="1"/>
    </xf>
    <xf numFmtId="2" fontId="16" fillId="0" borderId="0" xfId="2" applyNumberFormat="1" applyAlignment="1" applyProtection="1">
      <alignment horizontal="center" vertical="center"/>
      <protection hidden="1"/>
    </xf>
    <xf numFmtId="166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3" borderId="0" xfId="0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2" fontId="16" fillId="0" borderId="2" xfId="2" applyNumberFormat="1" applyBorder="1" applyAlignment="1" applyProtection="1">
      <alignment horizontal="center" vertical="center"/>
      <protection hidden="1"/>
    </xf>
    <xf numFmtId="166" fontId="0" fillId="0" borderId="2" xfId="0" applyNumberFormat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locked="0"/>
    </xf>
    <xf numFmtId="166" fontId="0" fillId="2" borderId="2" xfId="0" applyNumberFormat="1" applyFill="1" applyBorder="1" applyAlignment="1" applyProtection="1">
      <alignment horizontal="center" vertical="center"/>
      <protection locked="0"/>
    </xf>
    <xf numFmtId="166" fontId="0" fillId="0" borderId="0" xfId="0" applyNumberFormat="1" applyProtection="1">
      <protection hidden="1"/>
    </xf>
    <xf numFmtId="10" fontId="15" fillId="0" borderId="32" xfId="0" applyNumberFormat="1" applyFont="1" applyBorder="1" applyAlignment="1">
      <alignment horizontal="center" vertical="center"/>
    </xf>
    <xf numFmtId="10" fontId="15" fillId="0" borderId="34" xfId="0" applyNumberFormat="1" applyFont="1" applyBorder="1" applyAlignment="1">
      <alignment horizontal="center" vertical="center"/>
    </xf>
    <xf numFmtId="10" fontId="15" fillId="0" borderId="35" xfId="0" applyNumberFormat="1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10" fontId="15" fillId="0" borderId="33" xfId="0" applyNumberFormat="1" applyFont="1" applyBorder="1" applyAlignment="1">
      <alignment horizontal="center" vertical="center"/>
    </xf>
    <xf numFmtId="10" fontId="15" fillId="0" borderId="24" xfId="0" applyNumberFormat="1" applyFont="1" applyBorder="1" applyAlignment="1">
      <alignment horizontal="center" vertical="center"/>
    </xf>
    <xf numFmtId="10" fontId="15" fillId="0" borderId="26" xfId="0" applyNumberFormat="1" applyFont="1" applyBorder="1" applyAlignment="1">
      <alignment horizontal="center" vertical="center"/>
    </xf>
    <xf numFmtId="0" fontId="17" fillId="17" borderId="29" xfId="0" applyFont="1" applyFill="1" applyBorder="1" applyAlignment="1">
      <alignment horizontal="center" vertical="center" wrapText="1"/>
    </xf>
    <xf numFmtId="166" fontId="0" fillId="17" borderId="32" xfId="0" applyNumberFormat="1" applyFill="1" applyBorder="1" applyAlignment="1">
      <alignment horizontal="center" vertical="center"/>
    </xf>
    <xf numFmtId="166" fontId="0" fillId="17" borderId="34" xfId="0" applyNumberFormat="1" applyFill="1" applyBorder="1" applyAlignment="1">
      <alignment horizontal="center" vertical="center"/>
    </xf>
    <xf numFmtId="166" fontId="0" fillId="17" borderId="35" xfId="0" applyNumberFormat="1" applyFill="1" applyBorder="1" applyAlignment="1">
      <alignment horizontal="center" vertical="center"/>
    </xf>
    <xf numFmtId="0" fontId="17" fillId="18" borderId="29" xfId="0" applyFont="1" applyFill="1" applyBorder="1" applyAlignment="1">
      <alignment horizontal="center" vertical="center" wrapText="1"/>
    </xf>
    <xf numFmtId="166" fontId="0" fillId="18" borderId="32" xfId="0" applyNumberFormat="1" applyFill="1" applyBorder="1" applyAlignment="1">
      <alignment horizontal="center" vertical="center"/>
    </xf>
    <xf numFmtId="166" fontId="0" fillId="18" borderId="33" xfId="0" applyNumberFormat="1" applyFill="1" applyBorder="1" applyAlignment="1">
      <alignment horizontal="center" vertical="center"/>
    </xf>
    <xf numFmtId="166" fontId="0" fillId="18" borderId="34" xfId="0" applyNumberFormat="1" applyFill="1" applyBorder="1" applyAlignment="1">
      <alignment horizontal="center" vertical="center"/>
    </xf>
    <xf numFmtId="166" fontId="0" fillId="18" borderId="24" xfId="0" applyNumberFormat="1" applyFill="1" applyBorder="1" applyAlignment="1">
      <alignment horizontal="center" vertical="center"/>
    </xf>
    <xf numFmtId="166" fontId="0" fillId="18" borderId="35" xfId="0" applyNumberFormat="1" applyFill="1" applyBorder="1" applyAlignment="1">
      <alignment horizontal="center" vertical="center"/>
    </xf>
    <xf numFmtId="166" fontId="0" fillId="18" borderId="26" xfId="0" applyNumberFormat="1" applyFill="1" applyBorder="1" applyAlignment="1">
      <alignment horizontal="center" vertical="center"/>
    </xf>
    <xf numFmtId="0" fontId="17" fillId="19" borderId="29" xfId="0" applyFont="1" applyFill="1" applyBorder="1" applyAlignment="1">
      <alignment horizontal="center" vertical="center" wrapText="1"/>
    </xf>
    <xf numFmtId="166" fontId="0" fillId="19" borderId="32" xfId="0" applyNumberFormat="1" applyFill="1" applyBorder="1" applyAlignment="1">
      <alignment horizontal="center" vertical="center"/>
    </xf>
    <xf numFmtId="166" fontId="0" fillId="19" borderId="34" xfId="0" applyNumberFormat="1" applyFill="1" applyBorder="1" applyAlignment="1">
      <alignment horizontal="center" vertical="center"/>
    </xf>
    <xf numFmtId="166" fontId="0" fillId="19" borderId="35" xfId="0" applyNumberFormat="1" applyFill="1" applyBorder="1" applyAlignment="1">
      <alignment horizontal="center" vertical="center"/>
    </xf>
    <xf numFmtId="0" fontId="17" fillId="20" borderId="30" xfId="0" applyFont="1" applyFill="1" applyBorder="1" applyAlignment="1">
      <alignment horizontal="center" vertical="center" wrapText="1"/>
    </xf>
    <xf numFmtId="0" fontId="17" fillId="20" borderId="29" xfId="0" applyFont="1" applyFill="1" applyBorder="1" applyAlignment="1">
      <alignment horizontal="center" vertical="center" wrapText="1"/>
    </xf>
    <xf numFmtId="166" fontId="0" fillId="20" borderId="36" xfId="0" applyNumberFormat="1" applyFill="1" applyBorder="1" applyAlignment="1">
      <alignment horizontal="center" vertical="center"/>
    </xf>
    <xf numFmtId="166" fontId="0" fillId="20" borderId="32" xfId="0" applyNumberFormat="1" applyFill="1" applyBorder="1" applyAlignment="1">
      <alignment horizontal="center" vertical="center"/>
    </xf>
    <xf numFmtId="166" fontId="0" fillId="20" borderId="37" xfId="0" applyNumberFormat="1" applyFill="1" applyBorder="1" applyAlignment="1">
      <alignment horizontal="center" vertical="center"/>
    </xf>
    <xf numFmtId="166" fontId="0" fillId="20" borderId="34" xfId="0" applyNumberFormat="1" applyFill="1" applyBorder="1" applyAlignment="1">
      <alignment horizontal="center" vertical="center"/>
    </xf>
    <xf numFmtId="166" fontId="0" fillId="20" borderId="38" xfId="0" applyNumberFormat="1" applyFill="1" applyBorder="1" applyAlignment="1">
      <alignment horizontal="center" vertical="center"/>
    </xf>
    <xf numFmtId="166" fontId="0" fillId="20" borderId="35" xfId="0" applyNumberFormat="1" applyFill="1" applyBorder="1" applyAlignment="1">
      <alignment horizontal="center" vertical="center"/>
    </xf>
    <xf numFmtId="3" fontId="15" fillId="21" borderId="31" xfId="0" applyNumberFormat="1" applyFont="1" applyFill="1" applyBorder="1" applyAlignment="1">
      <alignment horizontal="center" vertical="center"/>
    </xf>
    <xf numFmtId="3" fontId="15" fillId="21" borderId="32" xfId="0" applyNumberFormat="1" applyFont="1" applyFill="1" applyBorder="1" applyAlignment="1">
      <alignment horizontal="center" vertical="center"/>
    </xf>
    <xf numFmtId="3" fontId="15" fillId="21" borderId="23" xfId="0" applyNumberFormat="1" applyFont="1" applyFill="1" applyBorder="1" applyAlignment="1">
      <alignment horizontal="center" vertical="center"/>
    </xf>
    <xf numFmtId="3" fontId="15" fillId="21" borderId="34" xfId="0" applyNumberFormat="1" applyFont="1" applyFill="1" applyBorder="1" applyAlignment="1">
      <alignment horizontal="center" vertical="center"/>
    </xf>
    <xf numFmtId="3" fontId="15" fillId="21" borderId="25" xfId="0" applyNumberFormat="1" applyFont="1" applyFill="1" applyBorder="1" applyAlignment="1">
      <alignment horizontal="center" vertical="center"/>
    </xf>
    <xf numFmtId="3" fontId="15" fillId="21" borderId="35" xfId="0" applyNumberFormat="1" applyFont="1" applyFill="1" applyBorder="1" applyAlignment="1">
      <alignment horizontal="center" vertical="center"/>
    </xf>
    <xf numFmtId="167" fontId="2" fillId="2" borderId="40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1" fontId="10" fillId="12" borderId="4" xfId="0" applyNumberFormat="1" applyFont="1" applyFill="1" applyBorder="1" applyAlignment="1" applyProtection="1">
      <alignment horizontal="center" vertical="center"/>
      <protection locked="0"/>
    </xf>
    <xf numFmtId="1" fontId="10" fillId="12" borderId="39" xfId="0" applyNumberFormat="1" applyFont="1" applyFill="1" applyBorder="1" applyAlignment="1" applyProtection="1">
      <alignment horizontal="center" vertical="center"/>
      <protection locked="0"/>
    </xf>
    <xf numFmtId="1" fontId="10" fillId="12" borderId="13" xfId="0" applyNumberFormat="1" applyFont="1" applyFill="1" applyBorder="1" applyAlignment="1" applyProtection="1">
      <alignment horizontal="center" vertical="center"/>
      <protection locked="0"/>
    </xf>
    <xf numFmtId="1" fontId="10" fillId="1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3" fillId="0" borderId="0" xfId="0" applyFont="1" applyProtection="1"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166" fontId="2" fillId="0" borderId="1" xfId="1" applyNumberFormat="1" applyFont="1" applyBorder="1" applyAlignment="1" applyProtection="1">
      <alignment horizontal="center" vertical="center"/>
      <protection hidden="1"/>
    </xf>
    <xf numFmtId="2" fontId="0" fillId="0" borderId="0" xfId="0" applyNumberFormat="1" applyProtection="1">
      <protection hidden="1"/>
    </xf>
    <xf numFmtId="0" fontId="22" fillId="0" borderId="0" xfId="0" applyFont="1" applyProtection="1"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167" fontId="2" fillId="3" borderId="40" xfId="0" applyNumberFormat="1" applyFont="1" applyFill="1" applyBorder="1" applyAlignment="1" applyProtection="1">
      <alignment horizontal="center" vertical="center"/>
      <protection hidden="1"/>
    </xf>
    <xf numFmtId="10" fontId="2" fillId="3" borderId="40" xfId="1" applyNumberFormat="1" applyFont="1" applyFill="1" applyBorder="1" applyAlignment="1" applyProtection="1">
      <alignment horizontal="center" vertical="center"/>
      <protection hidden="1"/>
    </xf>
    <xf numFmtId="168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68" fontId="3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65" fontId="7" fillId="5" borderId="1" xfId="0" applyNumberFormat="1" applyFont="1" applyFill="1" applyBorder="1" applyAlignment="1" applyProtection="1">
      <alignment horizontal="center" vertical="center"/>
      <protection hidden="1"/>
    </xf>
    <xf numFmtId="165" fontId="7" fillId="6" borderId="1" xfId="0" applyNumberFormat="1" applyFont="1" applyFill="1" applyBorder="1" applyAlignment="1" applyProtection="1">
      <alignment horizontal="center" vertical="center" wrapText="1"/>
      <protection hidden="1"/>
    </xf>
    <xf numFmtId="165" fontId="8" fillId="0" borderId="41" xfId="0" applyNumberFormat="1" applyFont="1" applyBorder="1" applyAlignment="1" applyProtection="1">
      <alignment horizontal="center" vertical="center"/>
      <protection hidden="1"/>
    </xf>
    <xf numFmtId="165" fontId="8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1" fontId="9" fillId="0" borderId="42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167" fontId="12" fillId="0" borderId="0" xfId="0" applyNumberFormat="1" applyFont="1" applyAlignment="1" applyProtection="1">
      <alignment horizontal="center" vertical="center"/>
      <protection hidden="1"/>
    </xf>
    <xf numFmtId="168" fontId="12" fillId="0" borderId="0" xfId="0" applyNumberFormat="1" applyFont="1" applyAlignment="1" applyProtection="1">
      <alignment horizontal="center" vertical="center"/>
      <protection hidden="1"/>
    </xf>
    <xf numFmtId="2" fontId="0" fillId="0" borderId="23" xfId="0" applyNumberFormat="1" applyBorder="1" applyAlignment="1" applyProtection="1">
      <alignment horizontal="center" vertical="center"/>
      <protection hidden="1"/>
    </xf>
    <xf numFmtId="2" fontId="0" fillId="0" borderId="24" xfId="0" applyNumberFormat="1" applyBorder="1" applyAlignment="1" applyProtection="1">
      <alignment horizontal="center" vertical="center"/>
      <protection hidden="1"/>
    </xf>
    <xf numFmtId="9" fontId="0" fillId="0" borderId="0" xfId="0" applyNumberFormat="1" applyAlignment="1" applyProtection="1">
      <alignment horizontal="center" vertical="center"/>
      <protection hidden="1"/>
    </xf>
    <xf numFmtId="168" fontId="13" fillId="11" borderId="11" xfId="0" applyNumberFormat="1" applyFont="1" applyFill="1" applyBorder="1" applyAlignment="1" applyProtection="1">
      <alignment horizontal="center" vertical="center" wrapText="1"/>
      <protection hidden="1"/>
    </xf>
    <xf numFmtId="165" fontId="13" fillId="10" borderId="11" xfId="0" applyNumberFormat="1" applyFont="1" applyFill="1" applyBorder="1" applyAlignment="1" applyProtection="1">
      <alignment horizontal="center" vertical="center" wrapText="1"/>
      <protection hidden="1"/>
    </xf>
    <xf numFmtId="169" fontId="13" fillId="11" borderId="11" xfId="0" applyNumberFormat="1" applyFont="1" applyFill="1" applyBorder="1" applyAlignment="1" applyProtection="1">
      <alignment horizontal="center" vertical="center" wrapText="1"/>
      <protection hidden="1"/>
    </xf>
    <xf numFmtId="168" fontId="13" fillId="10" borderId="1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68" fontId="10" fillId="12" borderId="11" xfId="0" applyNumberFormat="1" applyFont="1" applyFill="1" applyBorder="1" applyAlignment="1" applyProtection="1">
      <alignment horizontal="center" vertical="center" wrapText="1"/>
      <protection hidden="1"/>
    </xf>
    <xf numFmtId="168" fontId="10" fillId="12" borderId="2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23" xfId="0" applyNumberFormat="1" applyBorder="1" applyAlignment="1" applyProtection="1">
      <alignment horizontal="center" vertical="center" wrapText="1"/>
      <protection hidden="1"/>
    </xf>
    <xf numFmtId="2" fontId="0" fillId="0" borderId="24" xfId="0" applyNumberFormat="1" applyBorder="1" applyAlignment="1" applyProtection="1">
      <alignment horizontal="center" vertical="center" wrapText="1"/>
      <protection hidden="1"/>
    </xf>
    <xf numFmtId="0" fontId="10" fillId="7" borderId="4" xfId="0" applyFont="1" applyFill="1" applyBorder="1" applyAlignment="1" applyProtection="1">
      <alignment horizontal="center" vertical="center"/>
      <protection hidden="1"/>
    </xf>
    <xf numFmtId="166" fontId="10" fillId="7" borderId="4" xfId="0" applyNumberFormat="1" applyFont="1" applyFill="1" applyBorder="1" applyAlignment="1" applyProtection="1">
      <alignment horizontal="center" vertical="center"/>
      <protection hidden="1"/>
    </xf>
    <xf numFmtId="3" fontId="10" fillId="7" borderId="4" xfId="0" applyNumberFormat="1" applyFont="1" applyFill="1" applyBorder="1" applyAlignment="1" applyProtection="1">
      <alignment horizontal="center" vertical="center"/>
      <protection hidden="1"/>
    </xf>
    <xf numFmtId="168" fontId="10" fillId="13" borderId="4" xfId="0" applyNumberFormat="1" applyFont="1" applyFill="1" applyBorder="1" applyAlignment="1" applyProtection="1">
      <alignment horizontal="center" vertical="center"/>
      <protection hidden="1"/>
    </xf>
    <xf numFmtId="166" fontId="10" fillId="13" borderId="4" xfId="0" applyNumberFormat="1" applyFont="1" applyFill="1" applyBorder="1" applyAlignment="1" applyProtection="1">
      <alignment horizontal="center" vertical="center"/>
      <protection hidden="1"/>
    </xf>
    <xf numFmtId="169" fontId="10" fillId="13" borderId="4" xfId="0" applyNumberFormat="1" applyFont="1" applyFill="1" applyBorder="1" applyAlignment="1" applyProtection="1">
      <alignment horizontal="center" vertical="center"/>
      <protection hidden="1"/>
    </xf>
    <xf numFmtId="169" fontId="10" fillId="7" borderId="4" xfId="1" applyNumberFormat="1" applyFont="1" applyFill="1" applyBorder="1" applyAlignment="1" applyProtection="1">
      <alignment horizontal="center" vertical="center"/>
      <protection hidden="1"/>
    </xf>
    <xf numFmtId="166" fontId="10" fillId="0" borderId="4" xfId="0" applyNumberFormat="1" applyFont="1" applyBorder="1" applyAlignment="1" applyProtection="1">
      <alignment horizontal="center" vertical="center"/>
      <protection hidden="1"/>
    </xf>
    <xf numFmtId="170" fontId="10" fillId="7" borderId="4" xfId="0" applyNumberFormat="1" applyFont="1" applyFill="1" applyBorder="1" applyAlignment="1" applyProtection="1">
      <alignment horizontal="center" vertical="center"/>
      <protection hidden="1"/>
    </xf>
    <xf numFmtId="166" fontId="10" fillId="4" borderId="4" xfId="0" applyNumberFormat="1" applyFont="1" applyFill="1" applyBorder="1" applyAlignment="1" applyProtection="1">
      <alignment horizontal="center" vertical="center"/>
      <protection hidden="1"/>
    </xf>
    <xf numFmtId="169" fontId="10" fillId="13" borderId="4" xfId="1" applyNumberFormat="1" applyFont="1" applyFill="1" applyBorder="1" applyAlignment="1" applyProtection="1">
      <alignment horizontal="center" vertical="center"/>
      <protection hidden="1"/>
    </xf>
    <xf numFmtId="171" fontId="10" fillId="13" borderId="4" xfId="1" applyNumberFormat="1" applyFont="1" applyFill="1" applyBorder="1" applyAlignment="1" applyProtection="1">
      <alignment horizontal="center" vertical="center" wrapText="1"/>
      <protection hidden="1"/>
    </xf>
    <xf numFmtId="1" fontId="10" fillId="13" borderId="20" xfId="0" applyNumberFormat="1" applyFont="1" applyFill="1" applyBorder="1" applyAlignment="1" applyProtection="1">
      <alignment horizontal="center" vertical="center"/>
      <protection hidden="1"/>
    </xf>
    <xf numFmtId="1" fontId="0" fillId="0" borderId="4" xfId="0" applyNumberFormat="1" applyBorder="1" applyAlignment="1" applyProtection="1">
      <alignment horizontal="center"/>
      <protection hidden="1"/>
    </xf>
    <xf numFmtId="166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1" applyNumberFormat="1" applyFont="1" applyBorder="1" applyAlignment="1" applyProtection="1">
      <alignment horizontal="center" vertical="center"/>
      <protection hidden="1"/>
    </xf>
    <xf numFmtId="167" fontId="0" fillId="0" borderId="4" xfId="0" applyNumberFormat="1" applyBorder="1" applyAlignment="1" applyProtection="1">
      <alignment horizontal="center" vertical="center"/>
      <protection hidden="1"/>
    </xf>
    <xf numFmtId="2" fontId="0" fillId="0" borderId="10" xfId="1" applyNumberFormat="1" applyFont="1" applyBorder="1" applyAlignment="1" applyProtection="1">
      <alignment horizontal="center" vertical="center"/>
      <protection hidden="1"/>
    </xf>
    <xf numFmtId="0" fontId="10" fillId="7" borderId="2" xfId="0" applyFont="1" applyFill="1" applyBorder="1" applyAlignment="1" applyProtection="1">
      <alignment horizontal="center" vertical="center"/>
      <protection hidden="1"/>
    </xf>
    <xf numFmtId="166" fontId="10" fillId="7" borderId="2" xfId="0" applyNumberFormat="1" applyFont="1" applyFill="1" applyBorder="1" applyAlignment="1" applyProtection="1">
      <alignment horizontal="center" vertical="center"/>
      <protection hidden="1"/>
    </xf>
    <xf numFmtId="3" fontId="10" fillId="7" borderId="2" xfId="0" applyNumberFormat="1" applyFont="1" applyFill="1" applyBorder="1" applyAlignment="1" applyProtection="1">
      <alignment horizontal="center" vertical="center"/>
      <protection hidden="1"/>
    </xf>
    <xf numFmtId="168" fontId="10" fillId="13" borderId="2" xfId="0" applyNumberFormat="1" applyFont="1" applyFill="1" applyBorder="1" applyAlignment="1" applyProtection="1">
      <alignment horizontal="center" vertical="center"/>
      <protection hidden="1"/>
    </xf>
    <xf numFmtId="166" fontId="10" fillId="13" borderId="2" xfId="0" applyNumberFormat="1" applyFont="1" applyFill="1" applyBorder="1" applyAlignment="1" applyProtection="1">
      <alignment horizontal="center" vertical="center"/>
      <protection hidden="1"/>
    </xf>
    <xf numFmtId="169" fontId="10" fillId="13" borderId="2" xfId="0" applyNumberFormat="1" applyFont="1" applyFill="1" applyBorder="1" applyAlignment="1" applyProtection="1">
      <alignment horizontal="center" vertical="center"/>
      <protection hidden="1"/>
    </xf>
    <xf numFmtId="166" fontId="10" fillId="4" borderId="2" xfId="0" applyNumberFormat="1" applyFont="1" applyFill="1" applyBorder="1" applyAlignment="1" applyProtection="1">
      <alignment horizontal="center" vertical="center"/>
      <protection hidden="1"/>
    </xf>
    <xf numFmtId="171" fontId="10" fillId="13" borderId="2" xfId="1" applyNumberFormat="1" applyFont="1" applyFill="1" applyBorder="1" applyAlignment="1" applyProtection="1">
      <alignment horizontal="center" vertical="center" wrapText="1"/>
      <protection hidden="1"/>
    </xf>
    <xf numFmtId="1" fontId="10" fillId="13" borderId="12" xfId="0" applyNumberFormat="1" applyFont="1" applyFill="1" applyBorder="1" applyAlignment="1" applyProtection="1">
      <alignment horizontal="center" vertical="center"/>
      <protection hidden="1"/>
    </xf>
    <xf numFmtId="1" fontId="0" fillId="0" borderId="2" xfId="0" applyNumberFormat="1" applyBorder="1" applyAlignment="1" applyProtection="1">
      <alignment horizontal="center"/>
      <protection hidden="1"/>
    </xf>
    <xf numFmtId="2" fontId="0" fillId="0" borderId="2" xfId="0" applyNumberFormat="1" applyBorder="1" applyAlignment="1" applyProtection="1">
      <alignment horizontal="center" vertical="center"/>
      <protection hidden="1"/>
    </xf>
    <xf numFmtId="2" fontId="0" fillId="0" borderId="2" xfId="1" applyNumberFormat="1" applyFont="1" applyBorder="1" applyAlignment="1" applyProtection="1">
      <alignment horizontal="center" vertical="center"/>
      <protection hidden="1"/>
    </xf>
    <xf numFmtId="167" fontId="0" fillId="0" borderId="2" xfId="0" applyNumberFormat="1" applyBorder="1" applyAlignment="1" applyProtection="1">
      <alignment horizontal="center" vertical="center"/>
      <protection hidden="1"/>
    </xf>
    <xf numFmtId="2" fontId="0" fillId="0" borderId="3" xfId="1" applyNumberFormat="1" applyFont="1" applyBorder="1" applyAlignment="1" applyProtection="1">
      <alignment horizontal="center" vertical="center"/>
      <protection hidden="1"/>
    </xf>
    <xf numFmtId="172" fontId="0" fillId="0" borderId="2" xfId="1" applyNumberFormat="1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173" fontId="0" fillId="0" borderId="2" xfId="0" applyNumberFormat="1" applyBorder="1" applyAlignment="1" applyProtection="1">
      <alignment horizontal="center" vertical="center"/>
      <protection hidden="1"/>
    </xf>
    <xf numFmtId="174" fontId="0" fillId="0" borderId="2" xfId="0" applyNumberFormat="1" applyBorder="1" applyAlignment="1" applyProtection="1">
      <alignment horizontal="center" vertical="center"/>
      <protection hidden="1"/>
    </xf>
    <xf numFmtId="1" fontId="10" fillId="13" borderId="19" xfId="0" applyNumberFormat="1" applyFont="1" applyFill="1" applyBorder="1" applyAlignment="1" applyProtection="1">
      <alignment horizontal="center" vertical="center"/>
      <protection hidden="1"/>
    </xf>
    <xf numFmtId="1" fontId="0" fillId="0" borderId="16" xfId="0" applyNumberFormat="1" applyBorder="1" applyAlignment="1" applyProtection="1">
      <alignment horizontal="center"/>
      <protection hidden="1"/>
    </xf>
    <xf numFmtId="166" fontId="0" fillId="0" borderId="16" xfId="0" applyNumberFormat="1" applyBorder="1" applyAlignment="1" applyProtection="1">
      <alignment horizontal="center" vertical="center"/>
      <protection hidden="1"/>
    </xf>
    <xf numFmtId="172" fontId="0" fillId="0" borderId="16" xfId="1" applyNumberFormat="1" applyFont="1" applyBorder="1" applyAlignment="1" applyProtection="1">
      <alignment horizontal="center"/>
      <protection hidden="1"/>
    </xf>
    <xf numFmtId="2" fontId="0" fillId="0" borderId="16" xfId="1" applyNumberFormat="1" applyFont="1" applyBorder="1" applyAlignment="1" applyProtection="1">
      <alignment horizontal="center" vertical="center"/>
      <protection hidden="1"/>
    </xf>
    <xf numFmtId="174" fontId="0" fillId="0" borderId="16" xfId="0" applyNumberFormat="1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167" fontId="0" fillId="0" borderId="16" xfId="0" applyNumberFormat="1" applyBorder="1" applyAlignment="1" applyProtection="1">
      <alignment horizontal="center" vertical="center"/>
      <protection hidden="1"/>
    </xf>
    <xf numFmtId="173" fontId="0" fillId="0" borderId="16" xfId="0" applyNumberFormat="1" applyBorder="1" applyAlignment="1" applyProtection="1">
      <alignment horizontal="center" vertical="center"/>
      <protection hidden="1"/>
    </xf>
    <xf numFmtId="2" fontId="0" fillId="0" borderId="22" xfId="1" applyNumberFormat="1" applyFont="1" applyBorder="1" applyAlignment="1" applyProtection="1">
      <alignment horizontal="center" vertical="center"/>
      <protection hidden="1"/>
    </xf>
    <xf numFmtId="166" fontId="19" fillId="14" borderId="15" xfId="0" applyNumberFormat="1" applyFont="1" applyFill="1" applyBorder="1" applyAlignment="1" applyProtection="1">
      <alignment horizontal="center" vertical="center"/>
      <protection hidden="1"/>
    </xf>
    <xf numFmtId="175" fontId="19" fillId="14" borderId="15" xfId="0" applyNumberFormat="1" applyFont="1" applyFill="1" applyBorder="1" applyAlignment="1" applyProtection="1">
      <alignment horizontal="center" vertical="center"/>
      <protection hidden="1"/>
    </xf>
    <xf numFmtId="2" fontId="19" fillId="15" borderId="16" xfId="0" applyNumberFormat="1" applyFont="1" applyFill="1" applyBorder="1" applyAlignment="1" applyProtection="1">
      <alignment horizontal="center" vertical="center"/>
      <protection hidden="1"/>
    </xf>
    <xf numFmtId="166" fontId="19" fillId="15" borderId="16" xfId="0" applyNumberFormat="1" applyFont="1" applyFill="1" applyBorder="1" applyAlignment="1" applyProtection="1">
      <alignment horizontal="center" vertical="center"/>
      <protection hidden="1"/>
    </xf>
    <xf numFmtId="176" fontId="19" fillId="15" borderId="16" xfId="0" applyNumberFormat="1" applyFont="1" applyFill="1" applyBorder="1" applyAlignment="1" applyProtection="1">
      <alignment horizontal="center" vertical="center"/>
      <protection hidden="1"/>
    </xf>
    <xf numFmtId="167" fontId="19" fillId="15" borderId="16" xfId="0" applyNumberFormat="1" applyFont="1" applyFill="1" applyBorder="1" applyAlignment="1" applyProtection="1">
      <alignment horizontal="center" vertical="center"/>
      <protection hidden="1"/>
    </xf>
    <xf numFmtId="176" fontId="19" fillId="15" borderId="16" xfId="1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1" fontId="20" fillId="15" borderId="9" xfId="1" applyNumberFormat="1" applyFont="1" applyFill="1" applyBorder="1" applyAlignment="1" applyProtection="1">
      <alignment horizontal="center" vertical="center" wrapText="1"/>
      <protection hidden="1"/>
    </xf>
    <xf numFmtId="167" fontId="21" fillId="0" borderId="0" xfId="0" applyNumberFormat="1" applyFont="1" applyAlignment="1" applyProtection="1">
      <alignment horizontal="center" vertical="center"/>
      <protection hidden="1"/>
    </xf>
    <xf numFmtId="166" fontId="21" fillId="0" borderId="0" xfId="0" applyNumberFormat="1" applyFont="1" applyAlignment="1" applyProtection="1">
      <alignment horizontal="center" vertical="center"/>
      <protection hidden="1"/>
    </xf>
    <xf numFmtId="167" fontId="0" fillId="0" borderId="0" xfId="0" applyNumberFormat="1" applyAlignment="1" applyProtection="1">
      <alignment horizontal="center" vertical="center"/>
      <protection hidden="1"/>
    </xf>
    <xf numFmtId="1" fontId="21" fillId="0" borderId="0" xfId="0" applyNumberFormat="1" applyFont="1" applyAlignment="1" applyProtection="1">
      <alignment horizontal="center" vertical="center"/>
      <protection hidden="1"/>
    </xf>
    <xf numFmtId="1" fontId="19" fillId="15" borderId="16" xfId="1" applyNumberFormat="1" applyFont="1" applyFill="1" applyBorder="1" applyAlignment="1" applyProtection="1">
      <alignment horizontal="center" vertical="center" wrapText="1"/>
      <protection hidden="1"/>
    </xf>
    <xf numFmtId="1" fontId="19" fillId="15" borderId="17" xfId="1" applyNumberFormat="1" applyFont="1" applyFill="1" applyBorder="1" applyAlignment="1" applyProtection="1">
      <alignment horizontal="center" vertical="center" wrapText="1"/>
      <protection hidden="1"/>
    </xf>
    <xf numFmtId="1" fontId="19" fillId="15" borderId="18" xfId="1" applyNumberFormat="1" applyFont="1" applyFill="1" applyBorder="1" applyAlignment="1" applyProtection="1">
      <alignment horizontal="center" vertical="center" wrapText="1"/>
      <protection hidden="1"/>
    </xf>
    <xf numFmtId="167" fontId="2" fillId="0" borderId="1" xfId="1" applyNumberFormat="1" applyFont="1" applyBorder="1" applyAlignment="1" applyProtection="1">
      <alignment horizontal="center" vertical="center"/>
      <protection hidden="1"/>
    </xf>
    <xf numFmtId="177" fontId="10" fillId="7" borderId="40" xfId="0" applyNumberFormat="1" applyFont="1" applyFill="1" applyBorder="1" applyAlignment="1" applyProtection="1">
      <alignment horizontal="center" vertical="center"/>
      <protection hidden="1"/>
    </xf>
    <xf numFmtId="165" fontId="10" fillId="7" borderId="40" xfId="0" applyNumberFormat="1" applyFont="1" applyFill="1" applyBorder="1" applyAlignment="1" applyProtection="1">
      <alignment horizontal="center" vertical="center" wrapText="1"/>
      <protection hidden="1"/>
    </xf>
    <xf numFmtId="165" fontId="10" fillId="8" borderId="40" xfId="0" applyNumberFormat="1" applyFont="1" applyFill="1" applyBorder="1" applyAlignment="1" applyProtection="1">
      <alignment horizontal="center" vertical="center"/>
      <protection locked="0"/>
    </xf>
    <xf numFmtId="14" fontId="12" fillId="0" borderId="43" xfId="0" applyNumberFormat="1" applyFont="1" applyBorder="1" applyAlignment="1" applyProtection="1">
      <alignment horizontal="center" vertical="center"/>
      <protection hidden="1"/>
    </xf>
    <xf numFmtId="14" fontId="12" fillId="9" borderId="40" xfId="0" applyNumberFormat="1" applyFont="1" applyFill="1" applyBorder="1" applyAlignment="1" applyProtection="1">
      <alignment horizontal="center" vertical="center"/>
      <protection hidden="1"/>
    </xf>
    <xf numFmtId="165" fontId="19" fillId="14" borderId="44" xfId="0" applyNumberFormat="1" applyFont="1" applyFill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2" fontId="17" fillId="0" borderId="33" xfId="0" applyNumberFormat="1" applyFont="1" applyBorder="1" applyAlignment="1" applyProtection="1">
      <alignment horizontal="center" vertical="center"/>
      <protection hidden="1"/>
    </xf>
    <xf numFmtId="0" fontId="0" fillId="0" borderId="28" xfId="0" applyBorder="1" applyProtection="1">
      <protection hidden="1"/>
    </xf>
    <xf numFmtId="2" fontId="17" fillId="0" borderId="31" xfId="0" applyNumberFormat="1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0" fontId="17" fillId="20" borderId="30" xfId="0" applyFont="1" applyFill="1" applyBorder="1" applyAlignment="1">
      <alignment horizontal="center" vertical="center" wrapText="1"/>
    </xf>
    <xf numFmtId="0" fontId="0" fillId="0" borderId="30" xfId="0" applyBorder="1"/>
    <xf numFmtId="0" fontId="18" fillId="0" borderId="29" xfId="0" applyFont="1" applyBorder="1" applyAlignment="1">
      <alignment horizontal="center" vertical="center"/>
    </xf>
    <xf numFmtId="0" fontId="0" fillId="0" borderId="45" xfId="0" applyBorder="1"/>
    <xf numFmtId="0" fontId="17" fillId="19" borderId="29" xfId="0" applyFont="1" applyFill="1" applyBorder="1" applyAlignment="1">
      <alignment horizontal="center" vertical="center" wrapText="1"/>
    </xf>
    <xf numFmtId="0" fontId="17" fillId="18" borderId="29" xfId="0" applyFont="1" applyFill="1" applyBorder="1" applyAlignment="1">
      <alignment horizontal="center" vertical="center" wrapText="1"/>
    </xf>
    <xf numFmtId="0" fontId="17" fillId="17" borderId="29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2" xr:uid="{00000000-0005-0000-0000-000002000000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26"/>
  <sheetViews>
    <sheetView showGridLines="0" showZeros="0" tabSelected="1" topLeftCell="A7" zoomScale="80" zoomScaleNormal="80" workbookViewId="0">
      <selection activeCell="S13" sqref="S13"/>
    </sheetView>
  </sheetViews>
  <sheetFormatPr defaultColWidth="13.7109375" defaultRowHeight="14.3" x14ac:dyDescent="0.25"/>
  <cols>
    <col min="1" max="1" width="16.140625" style="13" customWidth="1"/>
    <col min="2" max="2" width="18.28515625" style="13" customWidth="1"/>
    <col min="3" max="3" width="15.7109375" style="13" customWidth="1"/>
    <col min="4" max="4" width="15.28515625" style="13" bestFit="1" customWidth="1"/>
    <col min="5" max="5" width="11.28515625" style="13" customWidth="1"/>
    <col min="6" max="6" width="10.7109375" style="13" customWidth="1"/>
    <col min="7" max="7" width="11.28515625" style="13" bestFit="1" customWidth="1"/>
    <col min="8" max="8" width="11.7109375" style="13" bestFit="1" customWidth="1"/>
    <col min="9" max="9" width="14" style="13" bestFit="1" customWidth="1"/>
    <col min="10" max="15" width="12.7109375" style="13" customWidth="1"/>
    <col min="16" max="16" width="12.28515625" style="13" bestFit="1" customWidth="1"/>
    <col min="17" max="17" width="14" style="13" bestFit="1" customWidth="1"/>
    <col min="18" max="22" width="10.7109375" style="13" customWidth="1"/>
    <col min="23" max="23" width="10.28515625" style="13" bestFit="1" customWidth="1"/>
    <col min="24" max="24" width="2.7109375" style="13" hidden="1" customWidth="1"/>
    <col min="25" max="25" width="12.28515625" style="13" hidden="1" customWidth="1"/>
    <col min="26" max="26" width="10.28515625" style="13" hidden="1" customWidth="1"/>
    <col min="27" max="27" width="13.5703125" style="13" hidden="1" customWidth="1"/>
    <col min="28" max="28" width="9.140625" style="13" hidden="1" customWidth="1"/>
    <col min="29" max="29" width="8.28515625" style="13" hidden="1" customWidth="1"/>
    <col min="30" max="30" width="12.7109375" style="13" hidden="1" customWidth="1"/>
    <col min="31" max="31" width="10.140625" style="13" hidden="1" customWidth="1"/>
    <col min="32" max="32" width="12.28515625" style="13" hidden="1" customWidth="1"/>
    <col min="33" max="33" width="7" style="13" hidden="1" customWidth="1"/>
    <col min="34" max="34" width="14.7109375" style="13" hidden="1" customWidth="1"/>
    <col min="35" max="35" width="8.28515625" style="13" hidden="1" customWidth="1"/>
    <col min="36" max="36" width="4.85546875" style="13" hidden="1" customWidth="1"/>
    <col min="37" max="37" width="6.5703125" style="13" hidden="1" customWidth="1"/>
    <col min="38" max="38" width="5" style="69" hidden="1" customWidth="1"/>
    <col min="39" max="39" width="13.7109375" style="69" hidden="1" customWidth="1"/>
    <col min="40" max="41" width="5.28515625" style="13" hidden="1" customWidth="1"/>
    <col min="42" max="42" width="12.28515625" style="13" hidden="1" customWidth="1"/>
    <col min="43" max="44" width="5.28515625" style="13" hidden="1" customWidth="1"/>
    <col min="45" max="47" width="5.28515625" style="13" customWidth="1"/>
    <col min="48" max="48" width="13.7109375" style="13" customWidth="1"/>
    <col min="49" max="16384" width="13.7109375" style="13"/>
  </cols>
  <sheetData>
    <row r="1" spans="1:58" ht="15" hidden="1" customHeight="1" thickBot="1" x14ac:dyDescent="0.3">
      <c r="A1" s="10">
        <f t="shared" ref="A1:K1" si="0">$A$9*A2</f>
        <v>3000000</v>
      </c>
      <c r="B1" s="10">
        <f t="shared" si="0"/>
        <v>3300000.0000000005</v>
      </c>
      <c r="C1" s="10">
        <f t="shared" si="0"/>
        <v>3600000</v>
      </c>
      <c r="D1" s="10">
        <f t="shared" si="0"/>
        <v>3900000</v>
      </c>
      <c r="E1" s="10">
        <f t="shared" si="0"/>
        <v>4200000</v>
      </c>
      <c r="F1" s="10">
        <f t="shared" si="0"/>
        <v>4500000</v>
      </c>
      <c r="G1" s="10">
        <f t="shared" si="0"/>
        <v>4800000</v>
      </c>
      <c r="H1" s="10">
        <f t="shared" si="0"/>
        <v>5100000</v>
      </c>
      <c r="I1" s="10">
        <f t="shared" si="0"/>
        <v>5400000</v>
      </c>
      <c r="J1" s="10">
        <f t="shared" si="0"/>
        <v>5700000</v>
      </c>
      <c r="K1" s="10">
        <f t="shared" si="0"/>
        <v>6000000</v>
      </c>
      <c r="L1" s="66"/>
      <c r="M1" s="67" t="s">
        <v>0</v>
      </c>
      <c r="N1" s="68" t="s">
        <v>1</v>
      </c>
      <c r="O1" s="66"/>
      <c r="P1" s="66"/>
      <c r="Q1" s="66"/>
      <c r="R1" s="66"/>
      <c r="S1" s="66"/>
      <c r="T1" s="66"/>
      <c r="U1" s="66"/>
    </row>
    <row r="2" spans="1:58" ht="15" hidden="1" customHeight="1" thickBot="1" x14ac:dyDescent="0.3">
      <c r="A2" s="8">
        <v>1</v>
      </c>
      <c r="B2" s="8">
        <v>1.1000000000000001</v>
      </c>
      <c r="C2" s="8">
        <v>1.2</v>
      </c>
      <c r="D2" s="8">
        <v>1.3</v>
      </c>
      <c r="E2" s="8">
        <v>1.4</v>
      </c>
      <c r="F2" s="8">
        <v>1.5</v>
      </c>
      <c r="G2" s="8">
        <v>1.6</v>
      </c>
      <c r="H2" s="8">
        <v>1.7</v>
      </c>
      <c r="I2" s="8">
        <v>1.8</v>
      </c>
      <c r="J2" s="8">
        <v>1.9</v>
      </c>
      <c r="K2" s="8">
        <v>2</v>
      </c>
      <c r="L2" s="66"/>
      <c r="M2" s="70">
        <f>IF(B9&lt;=A9,A5,IF(AND(B9&gt;A9,B9&lt;B1),A5,IF(AND(B9&gt;=B1,B9&lt;C1),B5,IF(AND(B9&gt;=C1,B9&lt;D1),C5,IF(AND(B9&gt;=D1,B9&lt;E1),D5,IF(AND(B9&gt;=E1,B9&lt;F1),E5,IF(AND(B9&gt;=F1,B9&lt;G1),F5,IF(AND(B9&gt;=G1,B9&lt;H1),G5,IF(AND(B9&gt;=H1,B9&lt;I1),H5,IF(AND(B9&gt;=I1,B9&lt;J1),I5,IF(AND(B9&gt;=J1,B9&lt;K1),J5,IF(B9&gt;=K5,K5,K5))))))))))))+IF(D11="Yok",P10/2,0)</f>
        <v>45900</v>
      </c>
      <c r="N2" s="68" t="s">
        <v>2</v>
      </c>
      <c r="O2" s="66"/>
      <c r="P2" s="66"/>
      <c r="Q2" s="66"/>
      <c r="R2" s="66"/>
      <c r="S2" s="66"/>
      <c r="T2" s="66"/>
      <c r="U2" s="66"/>
    </row>
    <row r="3" spans="1:58" ht="15" hidden="1" customHeight="1" thickBot="1" x14ac:dyDescent="0.3">
      <c r="A3" s="9">
        <v>1</v>
      </c>
      <c r="B3" s="9">
        <v>1.1000000000000001</v>
      </c>
      <c r="C3" s="9">
        <v>1.2</v>
      </c>
      <c r="D3" s="9">
        <v>1.25</v>
      </c>
      <c r="E3" s="9">
        <v>1.3</v>
      </c>
      <c r="F3" s="9">
        <v>1.35</v>
      </c>
      <c r="G3" s="9">
        <v>1.4</v>
      </c>
      <c r="H3" s="9">
        <v>1.45</v>
      </c>
      <c r="I3" s="9">
        <v>1.5</v>
      </c>
      <c r="J3" s="9">
        <v>1.55</v>
      </c>
      <c r="K3" s="9">
        <v>1.6</v>
      </c>
      <c r="L3" s="66"/>
      <c r="M3" s="66"/>
      <c r="N3" s="68"/>
      <c r="O3" s="66"/>
      <c r="P3" s="66"/>
      <c r="Q3" s="66"/>
      <c r="R3" s="66"/>
      <c r="S3" s="66"/>
      <c r="T3" s="66"/>
      <c r="U3" s="66"/>
    </row>
    <row r="4" spans="1:58" s="66" customFormat="1" hidden="1" x14ac:dyDescent="0.25">
      <c r="A4" s="20">
        <f t="shared" ref="A4:K4" si="1">$N$10*A3</f>
        <v>76500</v>
      </c>
      <c r="B4" s="20">
        <f t="shared" si="1"/>
        <v>84150</v>
      </c>
      <c r="C4" s="20">
        <f t="shared" si="1"/>
        <v>91800</v>
      </c>
      <c r="D4" s="20">
        <f t="shared" si="1"/>
        <v>95625</v>
      </c>
      <c r="E4" s="20">
        <f t="shared" si="1"/>
        <v>99450</v>
      </c>
      <c r="F4" s="20">
        <f t="shared" si="1"/>
        <v>103275</v>
      </c>
      <c r="G4" s="20">
        <f t="shared" si="1"/>
        <v>107100</v>
      </c>
      <c r="H4" s="20">
        <f t="shared" si="1"/>
        <v>110925</v>
      </c>
      <c r="I4" s="20">
        <f t="shared" si="1"/>
        <v>114750</v>
      </c>
      <c r="J4" s="20">
        <f t="shared" si="1"/>
        <v>118575</v>
      </c>
      <c r="K4" s="20">
        <f t="shared" si="1"/>
        <v>122400</v>
      </c>
      <c r="AL4" s="71"/>
      <c r="AM4" s="71"/>
    </row>
    <row r="5" spans="1:58" s="66" customFormat="1" hidden="1" x14ac:dyDescent="0.25">
      <c r="A5" s="20">
        <f t="shared" ref="A5:K5" si="2">$O$10*A3</f>
        <v>45900</v>
      </c>
      <c r="B5" s="20">
        <f t="shared" si="2"/>
        <v>50490.000000000007</v>
      </c>
      <c r="C5" s="20">
        <f t="shared" si="2"/>
        <v>55080</v>
      </c>
      <c r="D5" s="20">
        <f t="shared" si="2"/>
        <v>57375</v>
      </c>
      <c r="E5" s="20">
        <f t="shared" si="2"/>
        <v>59670</v>
      </c>
      <c r="F5" s="20">
        <f t="shared" si="2"/>
        <v>61965.000000000007</v>
      </c>
      <c r="G5" s="20">
        <f t="shared" si="2"/>
        <v>64259.999999999993</v>
      </c>
      <c r="H5" s="20">
        <f t="shared" si="2"/>
        <v>66555</v>
      </c>
      <c r="I5" s="20">
        <f t="shared" si="2"/>
        <v>68850</v>
      </c>
      <c r="J5" s="20">
        <f t="shared" si="2"/>
        <v>71145</v>
      </c>
      <c r="K5" s="20">
        <f t="shared" si="2"/>
        <v>73440</v>
      </c>
      <c r="AL5" s="71"/>
      <c r="AM5" s="71"/>
    </row>
    <row r="6" spans="1:58" hidden="1" x14ac:dyDescent="0.25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</row>
    <row r="7" spans="1:58" ht="15" customHeight="1" thickBot="1" x14ac:dyDescent="0.3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72"/>
      <c r="O7" s="72"/>
      <c r="P7" s="72"/>
      <c r="Q7" s="72"/>
      <c r="R7" s="66"/>
      <c r="S7" s="66"/>
      <c r="T7" s="66"/>
      <c r="U7" s="66"/>
    </row>
    <row r="8" spans="1:58" ht="15" customHeight="1" thickBot="1" x14ac:dyDescent="0.3">
      <c r="A8" s="73" t="s">
        <v>3</v>
      </c>
      <c r="B8" s="73" t="s">
        <v>4</v>
      </c>
      <c r="C8" s="73" t="s">
        <v>5</v>
      </c>
      <c r="D8" s="67" t="s">
        <v>6</v>
      </c>
      <c r="E8" s="67" t="s">
        <v>0</v>
      </c>
      <c r="F8" s="66"/>
      <c r="N8" s="74"/>
      <c r="O8" s="74"/>
      <c r="P8" s="74"/>
      <c r="Q8" s="74"/>
    </row>
    <row r="9" spans="1:58" ht="22.85" customHeight="1" thickTop="1" thickBot="1" x14ac:dyDescent="0.3">
      <c r="A9" s="58">
        <v>3000000</v>
      </c>
      <c r="B9" s="75">
        <f>I32</f>
        <v>629982</v>
      </c>
      <c r="C9" s="76">
        <f>IFERROR(B9/A9,)</f>
        <v>0.20999399999999999</v>
      </c>
      <c r="D9" s="168">
        <f>IFERROR(IF(B9&lt;=A9,A4,IF(AND(B9&gt;A9,B9&lt;B1),A4,IF(AND(B9&gt;=B1,B9&lt;C1),B4,IF(AND(B9&gt;=C1,B9&lt;D1),C4,IF(AND(B9&gt;=D1,B9&lt;E1),D4,IF(AND(B9&gt;=E1,B9&lt;F1),E4,IF(AND(B9&gt;=F1,B9&lt;G1),F4,IF(AND(B9&gt;=G1,B9&lt;H1),G4,IF(AND(B9&gt;=H1,B9&lt;I1),H4,IF(AND(B9&gt;=I1,B9&lt;J1),I4,IF(AND(B9&gt;=J1,B9&lt;K1),J4,IF(B9&gt;=K4,K4,K4)))))))))))),)</f>
        <v>76500</v>
      </c>
      <c r="E9" s="168">
        <f>IFERROR(IF(B9&lt;=A9,A5,IF(AND(B9&gt;A9,B9&lt;B1),A5,IF(AND(B9&gt;=B1,B9&lt;C1),B5,IF(AND(B9&gt;=C1,B9&lt;D1),C5,IF(AND(B9&gt;=D1,B9&lt;E1),D5,IF(AND(B9&gt;=E1,B9&lt;F1),E5,IF(AND(B9&gt;=F1,B9&lt;G1),F5,IF(AND(B9&gt;=G1,B9&lt;H1),G5,IF(AND(B9&gt;=H1,B9&lt;I1),H5,IF(AND(B9&gt;=I1,B9&lt;J1),I5,IF(AND(B9&gt;=J1,B9&lt;K1),J5,IF(B9&gt;=K5,K5,K4)))))))))))),)</f>
        <v>45900</v>
      </c>
      <c r="F9" s="66"/>
      <c r="G9" s="77" t="s">
        <v>7</v>
      </c>
      <c r="H9" s="77" t="s">
        <v>8</v>
      </c>
      <c r="I9" s="78" t="s">
        <v>9</v>
      </c>
      <c r="J9" s="77" t="s">
        <v>10</v>
      </c>
      <c r="K9" s="78" t="s">
        <v>11</v>
      </c>
      <c r="L9" s="77" t="s">
        <v>12</v>
      </c>
      <c r="M9" s="78" t="s">
        <v>13</v>
      </c>
      <c r="N9" s="1" t="s">
        <v>6</v>
      </c>
      <c r="O9" s="1" t="s">
        <v>0</v>
      </c>
      <c r="P9" s="1" t="s">
        <v>14</v>
      </c>
      <c r="Q9" s="79"/>
      <c r="R9" s="80"/>
      <c r="S9" s="80"/>
      <c r="AL9" s="178" t="s">
        <v>15</v>
      </c>
      <c r="AM9" s="176" t="s">
        <v>16</v>
      </c>
    </row>
    <row r="10" spans="1:58" ht="16.25" customHeight="1" thickBot="1" x14ac:dyDescent="0.3">
      <c r="A10" s="81" t="s">
        <v>17</v>
      </c>
      <c r="B10" s="82" t="s">
        <v>18</v>
      </c>
      <c r="C10" s="82" t="s">
        <v>9</v>
      </c>
      <c r="F10" s="66"/>
      <c r="G10" s="59">
        <v>5</v>
      </c>
      <c r="H10" s="83">
        <f ca="1">B11-M10</f>
        <v>8</v>
      </c>
      <c r="I10" s="84">
        <f>C11</f>
        <v>1787</v>
      </c>
      <c r="J10" s="85">
        <f ca="1">I10/H10</f>
        <v>223.375</v>
      </c>
      <c r="K10" s="85">
        <f>IFERROR(I10/G10,)</f>
        <v>357.4</v>
      </c>
      <c r="L10" s="86">
        <f ca="1">IFERROR(J10/G10,)</f>
        <v>44.674999999999997</v>
      </c>
      <c r="M10" s="87">
        <f ca="1">(M11-A11)+B11</f>
        <v>23</v>
      </c>
      <c r="N10" s="2">
        <f>LOOKUP(A9,'PRİM HAVUZU (SV SİSTEM)'!$A:$A,'PRİM HAVUZU (SV SİSTEM)'!$C:$C)*A9</f>
        <v>76500</v>
      </c>
      <c r="O10" s="2">
        <f>LOOKUP(A9,'PRİM HAVUZU (SV SİSTEM)'!$A:$A,'PRİM HAVUZU (SV SİSTEM)'!$F:$F)*N10</f>
        <v>45900</v>
      </c>
      <c r="P10" s="2">
        <f>LOOKUP(A9,'PRİM HAVUZU (SV SİSTEM)'!$A:$A,'PRİM HAVUZU (SV SİSTEM)'!$E:$E)*D9</f>
        <v>7650</v>
      </c>
      <c r="Q10" s="79"/>
      <c r="R10" s="88"/>
      <c r="S10" s="88"/>
      <c r="AL10" s="179"/>
      <c r="AM10" s="177"/>
    </row>
    <row r="11" spans="1:58" ht="17.149999999999999" customHeight="1" thickBot="1" x14ac:dyDescent="0.3">
      <c r="A11" s="169">
        <f ca="1">TODAY()</f>
        <v>46304</v>
      </c>
      <c r="B11" s="170">
        <f ca="1">(N11-M11)+1</f>
        <v>31</v>
      </c>
      <c r="C11" s="171">
        <v>1787</v>
      </c>
      <c r="F11" s="66"/>
      <c r="K11" s="89"/>
      <c r="L11" s="90"/>
      <c r="M11" s="172">
        <f ca="1">EOMONTH(A11,-1)+1</f>
        <v>46296</v>
      </c>
      <c r="N11" s="173">
        <f ca="1">EOMONTH(A11,0)</f>
        <v>46326</v>
      </c>
      <c r="O11" s="91"/>
      <c r="Q11" s="92"/>
      <c r="R11" s="91"/>
      <c r="S11" s="92"/>
      <c r="AL11" s="93">
        <v>0.85</v>
      </c>
      <c r="AM11" s="94">
        <v>0.7</v>
      </c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</row>
    <row r="12" spans="1:58" s="100" customFormat="1" ht="52.25" customHeight="1" thickTop="1" thickBot="1" x14ac:dyDescent="0.3">
      <c r="A12" s="97" t="s">
        <v>19</v>
      </c>
      <c r="B12" s="97" t="s">
        <v>20</v>
      </c>
      <c r="C12" s="97" t="s">
        <v>21</v>
      </c>
      <c r="D12" s="97" t="s">
        <v>22</v>
      </c>
      <c r="E12" s="97" t="s">
        <v>23</v>
      </c>
      <c r="F12" s="96" t="s">
        <v>24</v>
      </c>
      <c r="G12" s="96" t="s">
        <v>25</v>
      </c>
      <c r="H12" s="96" t="s">
        <v>26</v>
      </c>
      <c r="I12" s="97" t="s">
        <v>27</v>
      </c>
      <c r="J12" s="98" t="s">
        <v>28</v>
      </c>
      <c r="K12" s="97" t="s">
        <v>29</v>
      </c>
      <c r="L12" s="97" t="s">
        <v>30</v>
      </c>
      <c r="M12" s="97" t="s">
        <v>31</v>
      </c>
      <c r="N12" s="99" t="s">
        <v>32</v>
      </c>
      <c r="O12" s="99" t="s">
        <v>33</v>
      </c>
      <c r="P12" s="98" t="s">
        <v>28</v>
      </c>
      <c r="Q12" s="96" t="s">
        <v>34</v>
      </c>
      <c r="R12" s="96" t="s">
        <v>29</v>
      </c>
      <c r="S12" s="96" t="s">
        <v>35</v>
      </c>
      <c r="T12" s="98" t="s">
        <v>36</v>
      </c>
      <c r="U12" s="96" t="s">
        <v>37</v>
      </c>
      <c r="V12" s="96" t="s">
        <v>38</v>
      </c>
      <c r="W12" s="96" t="s">
        <v>39</v>
      </c>
      <c r="Y12" s="101" t="s">
        <v>40</v>
      </c>
      <c r="Z12" s="101" t="s">
        <v>41</v>
      </c>
      <c r="AA12" s="101" t="s">
        <v>42</v>
      </c>
      <c r="AB12" s="101" t="s">
        <v>43</v>
      </c>
      <c r="AC12" s="101" t="s">
        <v>44</v>
      </c>
      <c r="AD12" s="101" t="s">
        <v>45</v>
      </c>
      <c r="AE12" s="101" t="s">
        <v>46</v>
      </c>
      <c r="AF12" s="101" t="s">
        <v>47</v>
      </c>
      <c r="AG12" s="101"/>
      <c r="AH12" s="101"/>
      <c r="AI12" s="101"/>
      <c r="AJ12" s="101" t="s">
        <v>48</v>
      </c>
      <c r="AK12" s="102" t="s">
        <v>49</v>
      </c>
      <c r="AL12" s="103">
        <v>0.86</v>
      </c>
      <c r="AM12" s="104">
        <v>0.72</v>
      </c>
    </row>
    <row r="13" spans="1:58" ht="40.299999999999997" customHeight="1" thickTop="1" x14ac:dyDescent="0.25">
      <c r="A13" s="60" t="s">
        <v>50</v>
      </c>
      <c r="B13" s="105" t="str">
        <f t="array" ref="B13:B31">DATA!A2:A12</f>
        <v>SİNEM PALAZ</v>
      </c>
      <c r="C13" s="106">
        <f t="shared" ref="C13:C31" si="3">AA13</f>
        <v>476923.07692307688</v>
      </c>
      <c r="D13" s="107">
        <f t="array" ref="D13:D31">DATA!C2:C12</f>
        <v>30</v>
      </c>
      <c r="E13" s="107">
        <f t="array" ref="E13:E31">DATA!D2:D12</f>
        <v>46</v>
      </c>
      <c r="F13" s="108">
        <f>DATA!E2</f>
        <v>1.5333333333333334</v>
      </c>
      <c r="G13" s="109">
        <f>DATA!F2</f>
        <v>5925.166666666667</v>
      </c>
      <c r="H13" s="109">
        <f>DATA!G2</f>
        <v>3864.2391304347825</v>
      </c>
      <c r="I13" s="106">
        <f t="array" ref="I13:I31">DATA!B2:B12</f>
        <v>177755</v>
      </c>
      <c r="J13" s="110">
        <f t="shared" ref="J13:J31" si="4">IFERROR(I13/C13,0)</f>
        <v>0.37271209677419359</v>
      </c>
      <c r="K13" s="111">
        <f t="shared" ref="K13:K31" si="5">IFERROR(I13/$I$32,)</f>
        <v>0.28215885533237456</v>
      </c>
      <c r="L13" s="112" t="str">
        <f t="shared" ref="L13:L31" si="6">IFERROR(IF(J13&lt;0.85,"",IF(AND(J13&gt;0.85,J13&lt;1),$M$2*AB13*AJ13,$M$2*AB13*AJ13)),"")</f>
        <v/>
      </c>
      <c r="M13" s="113">
        <f t="shared" ref="M13:M31" si="7">IFERROR((($E$9+$F$9)*AC13),"")</f>
        <v>7296.9230769230762</v>
      </c>
      <c r="N13" s="114">
        <f t="shared" ref="N13:N31" si="8">IFERROR(IF(C13-I13&lt;0,"",C13-I13),"")</f>
        <v>299168.07692307688</v>
      </c>
      <c r="O13" s="114">
        <f t="shared" ref="O13:O31" si="9">IFERROR(IF(N13/(W13-V13)&gt;0,N13/(W13-V13),""),"")</f>
        <v>13007.30769230769</v>
      </c>
      <c r="P13" s="110">
        <f t="shared" ref="P13:P31" si="10">IFERROR(I13/C13,0)</f>
        <v>0.37271209677419359</v>
      </c>
      <c r="Q13" s="109">
        <f t="shared" ref="Q13:Q31" si="11">IF(V13="",0,IF(W13=V13,I13,(I13/V13)*(W13-V13)+I13))</f>
        <v>688800.625</v>
      </c>
      <c r="R13" s="115">
        <f t="shared" ref="R13:R31" si="12">IFERROR(Q13/$Q$32,)</f>
        <v>0.27569976205364111</v>
      </c>
      <c r="S13" s="106">
        <f t="shared" ref="S13:S31" si="13">IFERROR(IF(T13&lt;0.85,"",IF(AND(T13&gt;0.85,T13&lt;1),$M$2*AD13*AK13,$M$2*AD13*AK13)),"")</f>
        <v>15185.542893914551</v>
      </c>
      <c r="T13" s="110">
        <f t="shared" ref="T13:T31" si="14">IFERROR(Q13/C13,0)</f>
        <v>1.4442593750000001</v>
      </c>
      <c r="U13" s="116">
        <f t="shared" ref="U13:U31" si="15">IFERROR(D13/Z13,0)</f>
        <v>8.1841074426412988E-2</v>
      </c>
      <c r="V13" s="62">
        <v>8</v>
      </c>
      <c r="W13" s="63">
        <v>31</v>
      </c>
      <c r="Y13" s="117">
        <f t="shared" ref="Y13:Y31" si="16">IFERROR((W13*AG13),"")</f>
        <v>23.25</v>
      </c>
      <c r="Z13" s="118">
        <f t="shared" ref="Z13:Z31" si="17">(V13/$V$32)*$I$10</f>
        <v>366.56410256410254</v>
      </c>
      <c r="AA13" s="119">
        <f t="shared" ref="AA13:AA31" si="18">IFERROR(((Y13/$Y$32)*$A$9),"")</f>
        <v>476923.07692307688</v>
      </c>
      <c r="AB13" s="120">
        <f t="shared" ref="AB13:AB31" si="19">I13/$I$32</f>
        <v>0.28215885533237456</v>
      </c>
      <c r="AC13" s="121">
        <f t="shared" ref="AC13:AC31" si="20">AA13/$C$32</f>
        <v>0.15897435897435896</v>
      </c>
      <c r="AD13" s="120">
        <f t="shared" ref="AD13:AD31" si="21">Q13/$Q$32</f>
        <v>0.27569976205364111</v>
      </c>
      <c r="AE13" s="120">
        <f t="shared" ref="AE13:AE31" si="22">I13/C13</f>
        <v>0.37271209677419359</v>
      </c>
      <c r="AF13" s="120">
        <f t="shared" ref="AF13:AF31" si="23">Q13/C13</f>
        <v>1.4442593750000001</v>
      </c>
      <c r="AG13" s="120">
        <f>IFERROR(VLOOKUP(A13,DATA!$Q$2:$R$3,2,0),"")</f>
        <v>0.75</v>
      </c>
      <c r="AH13" s="122">
        <f t="shared" ref="AH13:AH31" si="24">IFERROR(($A$9/$AG$32*AG13),"")</f>
        <v>333333.33333333331</v>
      </c>
      <c r="AI13" s="121">
        <f>AG13/$AG$32</f>
        <v>0.1111111111111111</v>
      </c>
      <c r="AJ13" s="121" t="str">
        <f t="shared" ref="AJ13:AJ31" si="25">IFERROR(LOOKUP(AE13,AL:AL,AM:AM),"")</f>
        <v/>
      </c>
      <c r="AK13" s="123">
        <f t="shared" ref="AK13:AK31" si="26">IFERROR(LOOKUP(AF13,AL:AL,AM:AM),"")</f>
        <v>1.2</v>
      </c>
      <c r="AL13" s="93">
        <v>0.87</v>
      </c>
      <c r="AM13" s="94">
        <v>0.74</v>
      </c>
    </row>
    <row r="14" spans="1:58" ht="40.299999999999997" customHeight="1" x14ac:dyDescent="0.25">
      <c r="A14" s="61" t="s">
        <v>51</v>
      </c>
      <c r="B14" s="124" t="str">
        <v>SERKAN CANİK</v>
      </c>
      <c r="C14" s="125">
        <f t="shared" si="3"/>
        <v>635897.43589743588</v>
      </c>
      <c r="D14" s="126">
        <v>19</v>
      </c>
      <c r="E14" s="126">
        <v>28</v>
      </c>
      <c r="F14" s="127">
        <f>DATA!E3</f>
        <v>1.4736842105263157</v>
      </c>
      <c r="G14" s="128">
        <f>DATA!F3</f>
        <v>5584.5263157894733</v>
      </c>
      <c r="H14" s="128">
        <f>DATA!G3</f>
        <v>3789.5</v>
      </c>
      <c r="I14" s="125">
        <v>106106</v>
      </c>
      <c r="J14" s="129">
        <f t="shared" si="4"/>
        <v>0.16686024193548388</v>
      </c>
      <c r="K14" s="111">
        <f t="shared" si="5"/>
        <v>0.16842703442320575</v>
      </c>
      <c r="L14" s="112" t="str">
        <f t="shared" si="6"/>
        <v/>
      </c>
      <c r="M14" s="113">
        <f t="shared" si="7"/>
        <v>9729.2307692307695</v>
      </c>
      <c r="N14" s="130">
        <f t="shared" si="8"/>
        <v>529791.43589743588</v>
      </c>
      <c r="O14" s="130">
        <f t="shared" si="9"/>
        <v>23034.410256410254</v>
      </c>
      <c r="P14" s="129">
        <f t="shared" si="10"/>
        <v>0.16686024193548388</v>
      </c>
      <c r="Q14" s="109">
        <f t="shared" si="11"/>
        <v>411160.75</v>
      </c>
      <c r="R14" s="115">
        <f t="shared" si="12"/>
        <v>0.16457145482525748</v>
      </c>
      <c r="S14" s="106" t="str">
        <f t="shared" si="13"/>
        <v/>
      </c>
      <c r="T14" s="129">
        <f t="shared" si="14"/>
        <v>0.64658343750000002</v>
      </c>
      <c r="U14" s="131">
        <f t="shared" si="15"/>
        <v>5.1832680470061558E-2</v>
      </c>
      <c r="V14" s="62">
        <v>8</v>
      </c>
      <c r="W14" s="64">
        <v>31</v>
      </c>
      <c r="Y14" s="132">
        <f t="shared" si="16"/>
        <v>31</v>
      </c>
      <c r="Z14" s="133">
        <f t="shared" si="17"/>
        <v>366.56410256410254</v>
      </c>
      <c r="AA14" s="17">
        <f t="shared" si="18"/>
        <v>635897.43589743588</v>
      </c>
      <c r="AB14" s="134">
        <f t="shared" si="19"/>
        <v>0.16842703442320575</v>
      </c>
      <c r="AC14" s="135">
        <f t="shared" si="20"/>
        <v>0.21196581196581196</v>
      </c>
      <c r="AD14" s="134">
        <f t="shared" si="21"/>
        <v>0.16457145482525748</v>
      </c>
      <c r="AE14" s="134">
        <f t="shared" si="22"/>
        <v>0.16686024193548388</v>
      </c>
      <c r="AF14" s="134">
        <f t="shared" si="23"/>
        <v>0.64658343750000002</v>
      </c>
      <c r="AG14" s="134">
        <f>IFERROR(VLOOKUP(A14,DATA!$Q$2:$R$3,2,0),"")</f>
        <v>1</v>
      </c>
      <c r="AH14" s="136">
        <f t="shared" si="24"/>
        <v>444444.44444444444</v>
      </c>
      <c r="AI14" s="135">
        <f>AG14/$AG$32</f>
        <v>0.14814814814814814</v>
      </c>
      <c r="AJ14" s="135" t="str">
        <f t="shared" si="25"/>
        <v/>
      </c>
      <c r="AK14" s="137" t="str">
        <f t="shared" si="26"/>
        <v/>
      </c>
      <c r="AL14" s="93">
        <v>0.88</v>
      </c>
      <c r="AM14" s="94">
        <v>0.76</v>
      </c>
    </row>
    <row r="15" spans="1:58" ht="40.299999999999997" customHeight="1" x14ac:dyDescent="0.25">
      <c r="A15" s="61" t="s">
        <v>51</v>
      </c>
      <c r="B15" s="124" t="str">
        <v>CEM AKTAŞ</v>
      </c>
      <c r="C15" s="125">
        <f t="shared" si="3"/>
        <v>615384.61538461538</v>
      </c>
      <c r="D15" s="126">
        <v>25</v>
      </c>
      <c r="E15" s="126">
        <v>36</v>
      </c>
      <c r="F15" s="127">
        <f>DATA!E4</f>
        <v>1.44</v>
      </c>
      <c r="G15" s="128">
        <f>DATA!F4</f>
        <v>5570</v>
      </c>
      <c r="H15" s="128">
        <f>DATA!G4</f>
        <v>3868.0555555555557</v>
      </c>
      <c r="I15" s="125">
        <v>139250</v>
      </c>
      <c r="J15" s="129">
        <f t="shared" si="4"/>
        <v>0.22628125000000002</v>
      </c>
      <c r="K15" s="111">
        <f t="shared" si="5"/>
        <v>0.22103806140492904</v>
      </c>
      <c r="L15" s="112" t="str">
        <f t="shared" si="6"/>
        <v/>
      </c>
      <c r="M15" s="113">
        <f t="shared" si="7"/>
        <v>9415.3846153846152</v>
      </c>
      <c r="N15" s="130">
        <f t="shared" si="8"/>
        <v>476134.61538461538</v>
      </c>
      <c r="O15" s="130">
        <f t="shared" si="9"/>
        <v>20701.505016722407</v>
      </c>
      <c r="P15" s="129">
        <f t="shared" si="10"/>
        <v>0.22628125000000002</v>
      </c>
      <c r="Q15" s="109">
        <f t="shared" si="11"/>
        <v>596785.71428571432</v>
      </c>
      <c r="R15" s="115">
        <f t="shared" si="12"/>
        <v>0.23886981726473272</v>
      </c>
      <c r="S15" s="106">
        <f t="shared" si="13"/>
        <v>10086.994643455135</v>
      </c>
      <c r="T15" s="129">
        <f t="shared" si="14"/>
        <v>0.96977678571428583</v>
      </c>
      <c r="U15" s="131">
        <f t="shared" si="15"/>
        <v>7.7943880406107613E-2</v>
      </c>
      <c r="V15" s="62">
        <v>7</v>
      </c>
      <c r="W15" s="64">
        <v>30</v>
      </c>
      <c r="Y15" s="132">
        <f t="shared" si="16"/>
        <v>30</v>
      </c>
      <c r="Z15" s="133">
        <f t="shared" si="17"/>
        <v>320.74358974358972</v>
      </c>
      <c r="AA15" s="17">
        <f t="shared" si="18"/>
        <v>615384.61538461538</v>
      </c>
      <c r="AB15" s="134">
        <f t="shared" si="19"/>
        <v>0.22103806140492904</v>
      </c>
      <c r="AC15" s="135">
        <f t="shared" si="20"/>
        <v>0.20512820512820512</v>
      </c>
      <c r="AD15" s="134">
        <f t="shared" si="21"/>
        <v>0.23886981726473272</v>
      </c>
      <c r="AE15" s="134">
        <f t="shared" si="22"/>
        <v>0.22628125000000002</v>
      </c>
      <c r="AF15" s="134">
        <f t="shared" si="23"/>
        <v>0.96977678571428583</v>
      </c>
      <c r="AG15" s="134">
        <f>IFERROR(VLOOKUP(A15,DATA!$Q$2:$R$3,2,0),"")</f>
        <v>1</v>
      </c>
      <c r="AH15" s="136">
        <f t="shared" si="24"/>
        <v>444444.44444444444</v>
      </c>
      <c r="AI15" s="135">
        <f>AG15/$AG$32</f>
        <v>0.14814814814814814</v>
      </c>
      <c r="AJ15" s="135" t="str">
        <f t="shared" si="25"/>
        <v/>
      </c>
      <c r="AK15" s="137">
        <f t="shared" si="26"/>
        <v>0.92</v>
      </c>
      <c r="AL15" s="93">
        <v>0.89</v>
      </c>
      <c r="AM15" s="94">
        <v>0.78</v>
      </c>
    </row>
    <row r="16" spans="1:58" ht="40.299999999999997" customHeight="1" x14ac:dyDescent="0.25">
      <c r="A16" s="61" t="s">
        <v>51</v>
      </c>
      <c r="B16" s="124" t="str">
        <v>MERVE ÇETİN</v>
      </c>
      <c r="C16" s="125">
        <f t="shared" si="3"/>
        <v>635897.43589743588</v>
      </c>
      <c r="D16" s="126">
        <v>16</v>
      </c>
      <c r="E16" s="126">
        <v>34</v>
      </c>
      <c r="F16" s="127">
        <f>DATA!E5</f>
        <v>2.125</v>
      </c>
      <c r="G16" s="128">
        <f>DATA!F5</f>
        <v>7773.0625</v>
      </c>
      <c r="H16" s="128">
        <f>DATA!G5</f>
        <v>3657.9117647058824</v>
      </c>
      <c r="I16" s="125">
        <v>124369</v>
      </c>
      <c r="J16" s="129">
        <f t="shared" si="4"/>
        <v>0.19558028225806454</v>
      </c>
      <c r="K16" s="111">
        <f t="shared" si="5"/>
        <v>0.19741675158972796</v>
      </c>
      <c r="L16" s="112" t="str">
        <f t="shared" si="6"/>
        <v/>
      </c>
      <c r="M16" s="113">
        <f t="shared" si="7"/>
        <v>9729.2307692307695</v>
      </c>
      <c r="N16" s="130">
        <f t="shared" si="8"/>
        <v>511528.43589743588</v>
      </c>
      <c r="O16" s="130">
        <f t="shared" si="9"/>
        <v>22240.366778149386</v>
      </c>
      <c r="P16" s="129">
        <f t="shared" si="10"/>
        <v>0.19558028225806454</v>
      </c>
      <c r="Q16" s="109">
        <f t="shared" si="11"/>
        <v>481929.875</v>
      </c>
      <c r="R16" s="115">
        <f t="shared" si="12"/>
        <v>0.19289754834940953</v>
      </c>
      <c r="S16" s="106" t="str">
        <f t="shared" si="13"/>
        <v/>
      </c>
      <c r="T16" s="129">
        <f t="shared" si="14"/>
        <v>0.75787359375000007</v>
      </c>
      <c r="U16" s="131">
        <f t="shared" si="15"/>
        <v>4.3648573027420264E-2</v>
      </c>
      <c r="V16" s="62">
        <v>8</v>
      </c>
      <c r="W16" s="64">
        <v>31</v>
      </c>
      <c r="Y16" s="132">
        <f t="shared" si="16"/>
        <v>31</v>
      </c>
      <c r="Z16" s="133">
        <f t="shared" si="17"/>
        <v>366.56410256410254</v>
      </c>
      <c r="AA16" s="17">
        <f t="shared" si="18"/>
        <v>635897.43589743588</v>
      </c>
      <c r="AB16" s="134">
        <f t="shared" si="19"/>
        <v>0.19741675158972796</v>
      </c>
      <c r="AC16" s="135">
        <f t="shared" si="20"/>
        <v>0.21196581196581196</v>
      </c>
      <c r="AD16" s="134">
        <f t="shared" si="21"/>
        <v>0.19289754834940953</v>
      </c>
      <c r="AE16" s="134">
        <f t="shared" si="22"/>
        <v>0.19558028225806454</v>
      </c>
      <c r="AF16" s="134">
        <f t="shared" si="23"/>
        <v>0.75787359375000007</v>
      </c>
      <c r="AG16" s="134">
        <f>IFERROR(VLOOKUP(A16,DATA!$Q$2:$R$3,2,0),"")</f>
        <v>1</v>
      </c>
      <c r="AH16" s="136">
        <f t="shared" si="24"/>
        <v>444444.44444444444</v>
      </c>
      <c r="AI16" s="135">
        <f>AG16/$AG$32</f>
        <v>0.14814814814814814</v>
      </c>
      <c r="AJ16" s="135" t="str">
        <f t="shared" si="25"/>
        <v/>
      </c>
      <c r="AK16" s="137" t="str">
        <f t="shared" si="26"/>
        <v/>
      </c>
      <c r="AL16" s="93">
        <v>0.9</v>
      </c>
      <c r="AM16" s="94">
        <v>0.8</v>
      </c>
    </row>
    <row r="17" spans="1:39" ht="40.299999999999997" customHeight="1" x14ac:dyDescent="0.25">
      <c r="A17" s="61" t="s">
        <v>51</v>
      </c>
      <c r="B17" s="124" t="str">
        <v>ECE NUR TEMÜR</v>
      </c>
      <c r="C17" s="125">
        <f t="shared" si="3"/>
        <v>635897.43589743588</v>
      </c>
      <c r="D17" s="126">
        <v>15</v>
      </c>
      <c r="E17" s="126">
        <v>19</v>
      </c>
      <c r="F17" s="127">
        <f>DATA!E6</f>
        <v>1.2666666666666666</v>
      </c>
      <c r="G17" s="128">
        <f>DATA!F6</f>
        <v>5500.1333333333332</v>
      </c>
      <c r="H17" s="128">
        <f>DATA!G6</f>
        <v>4342.2105263157891</v>
      </c>
      <c r="I17" s="125">
        <v>82502</v>
      </c>
      <c r="J17" s="129">
        <f t="shared" si="4"/>
        <v>0.12974104838709677</v>
      </c>
      <c r="K17" s="111">
        <f t="shared" si="5"/>
        <v>0.13095929724976269</v>
      </c>
      <c r="L17" s="112" t="str">
        <f t="shared" si="6"/>
        <v/>
      </c>
      <c r="M17" s="113">
        <f t="shared" si="7"/>
        <v>9729.2307692307695</v>
      </c>
      <c r="N17" s="130">
        <f t="shared" si="8"/>
        <v>553395.43589743588</v>
      </c>
      <c r="O17" s="130">
        <f t="shared" si="9"/>
        <v>24060.671125975474</v>
      </c>
      <c r="P17" s="129">
        <f t="shared" si="10"/>
        <v>0.12974104838709677</v>
      </c>
      <c r="Q17" s="109">
        <f t="shared" si="11"/>
        <v>319695.25</v>
      </c>
      <c r="R17" s="115">
        <f t="shared" si="12"/>
        <v>0.12796141750695902</v>
      </c>
      <c r="S17" s="106" t="str">
        <f t="shared" si="13"/>
        <v/>
      </c>
      <c r="T17" s="129">
        <f t="shared" si="14"/>
        <v>0.50274656250000005</v>
      </c>
      <c r="U17" s="131">
        <f t="shared" si="15"/>
        <v>4.0920537213206494E-2</v>
      </c>
      <c r="V17" s="62">
        <v>8</v>
      </c>
      <c r="W17" s="64">
        <v>31</v>
      </c>
      <c r="Y17" s="132">
        <f t="shared" si="16"/>
        <v>31</v>
      </c>
      <c r="Z17" s="133">
        <f t="shared" si="17"/>
        <v>366.56410256410254</v>
      </c>
      <c r="AA17" s="17">
        <f t="shared" si="18"/>
        <v>635897.43589743588</v>
      </c>
      <c r="AB17" s="134">
        <f t="shared" si="19"/>
        <v>0.13095929724976269</v>
      </c>
      <c r="AC17" s="135">
        <f t="shared" si="20"/>
        <v>0.21196581196581196</v>
      </c>
      <c r="AD17" s="134">
        <f t="shared" si="21"/>
        <v>0.12796141750695902</v>
      </c>
      <c r="AE17" s="134">
        <f t="shared" si="22"/>
        <v>0.12974104838709677</v>
      </c>
      <c r="AF17" s="134">
        <f t="shared" si="23"/>
        <v>0.50274656250000005</v>
      </c>
      <c r="AG17" s="134">
        <f>IFERROR(VLOOKUP(A17,DATA!$Q$2:$R$3,2,0),"")</f>
        <v>1</v>
      </c>
      <c r="AH17" s="136">
        <f t="shared" si="24"/>
        <v>444444.44444444444</v>
      </c>
      <c r="AI17" s="135">
        <f>AG17/$AG$32</f>
        <v>0.14814814814814814</v>
      </c>
      <c r="AJ17" s="135" t="str">
        <f t="shared" si="25"/>
        <v/>
      </c>
      <c r="AK17" s="137" t="str">
        <f t="shared" si="26"/>
        <v/>
      </c>
      <c r="AL17" s="93">
        <v>0.91</v>
      </c>
      <c r="AM17" s="94">
        <v>0.82</v>
      </c>
    </row>
    <row r="18" spans="1:39" ht="40.299999999999997" customHeight="1" x14ac:dyDescent="0.25">
      <c r="A18" s="61" t="s">
        <v>51</v>
      </c>
      <c r="B18" s="124">
        <v>0</v>
      </c>
      <c r="C18" s="125">
        <f t="shared" si="3"/>
        <v>0</v>
      </c>
      <c r="D18" s="126">
        <v>0</v>
      </c>
      <c r="E18" s="126">
        <v>0</v>
      </c>
      <c r="F18" s="127" t="str">
        <f>DATA!E7</f>
        <v/>
      </c>
      <c r="G18" s="128" t="str">
        <f>DATA!F7</f>
        <v/>
      </c>
      <c r="H18" s="128" t="str">
        <f>DATA!G7</f>
        <v/>
      </c>
      <c r="I18" s="125">
        <v>0</v>
      </c>
      <c r="J18" s="129">
        <f t="shared" si="4"/>
        <v>0</v>
      </c>
      <c r="K18" s="111">
        <f t="shared" si="5"/>
        <v>0</v>
      </c>
      <c r="L18" s="112" t="str">
        <f t="shared" si="6"/>
        <v/>
      </c>
      <c r="M18" s="113">
        <f t="shared" si="7"/>
        <v>0</v>
      </c>
      <c r="N18" s="130">
        <f t="shared" si="8"/>
        <v>0</v>
      </c>
      <c r="O18" s="130" t="str">
        <f t="shared" si="9"/>
        <v/>
      </c>
      <c r="P18" s="129">
        <f t="shared" si="10"/>
        <v>0</v>
      </c>
      <c r="Q18" s="109">
        <f t="shared" si="11"/>
        <v>0</v>
      </c>
      <c r="R18" s="115">
        <f t="shared" si="12"/>
        <v>0</v>
      </c>
      <c r="S18" s="106" t="str">
        <f t="shared" si="13"/>
        <v/>
      </c>
      <c r="T18" s="129">
        <f t="shared" si="14"/>
        <v>0</v>
      </c>
      <c r="U18" s="131">
        <f t="shared" si="15"/>
        <v>0</v>
      </c>
      <c r="V18" s="62"/>
      <c r="W18" s="64"/>
      <c r="Y18" s="132">
        <f t="shared" si="16"/>
        <v>0</v>
      </c>
      <c r="Z18" s="133">
        <f t="shared" si="17"/>
        <v>0</v>
      </c>
      <c r="AA18" s="17">
        <f t="shared" si="18"/>
        <v>0</v>
      </c>
      <c r="AB18" s="138">
        <f t="shared" si="19"/>
        <v>0</v>
      </c>
      <c r="AC18" s="135">
        <f t="shared" si="20"/>
        <v>0</v>
      </c>
      <c r="AD18" s="134">
        <f t="shared" si="21"/>
        <v>0</v>
      </c>
      <c r="AE18" s="139" t="e">
        <f t="shared" si="22"/>
        <v>#DIV/0!</v>
      </c>
      <c r="AF18" s="139" t="e">
        <f t="shared" si="23"/>
        <v>#DIV/0!</v>
      </c>
      <c r="AG18" s="139">
        <f>IFERROR(VLOOKUP(A18,DATA!$Q$2:$R$3,2,0),"")</f>
        <v>1</v>
      </c>
      <c r="AH18" s="136">
        <f t="shared" si="24"/>
        <v>444444.44444444444</v>
      </c>
      <c r="AI18" s="140">
        <f t="shared" ref="AI18:AI31" si="27">IFERROR((AH18-AA18),"")</f>
        <v>444444.44444444444</v>
      </c>
      <c r="AJ18" s="135" t="str">
        <f t="shared" si="25"/>
        <v/>
      </c>
      <c r="AK18" s="137" t="str">
        <f t="shared" si="26"/>
        <v/>
      </c>
      <c r="AL18" s="93">
        <v>0.92</v>
      </c>
      <c r="AM18" s="94">
        <v>0.84</v>
      </c>
    </row>
    <row r="19" spans="1:39" ht="40.299999999999997" customHeight="1" x14ac:dyDescent="0.25">
      <c r="A19" s="61" t="s">
        <v>51</v>
      </c>
      <c r="B19" s="124">
        <v>0</v>
      </c>
      <c r="C19" s="125">
        <f t="shared" si="3"/>
        <v>0</v>
      </c>
      <c r="D19" s="126">
        <v>0</v>
      </c>
      <c r="E19" s="126">
        <v>0</v>
      </c>
      <c r="F19" s="127" t="str">
        <f>DATA!E8</f>
        <v/>
      </c>
      <c r="G19" s="128" t="str">
        <f>DATA!F8</f>
        <v/>
      </c>
      <c r="H19" s="128" t="str">
        <f>DATA!G8</f>
        <v/>
      </c>
      <c r="I19" s="125">
        <v>0</v>
      </c>
      <c r="J19" s="129">
        <f t="shared" si="4"/>
        <v>0</v>
      </c>
      <c r="K19" s="111">
        <f t="shared" si="5"/>
        <v>0</v>
      </c>
      <c r="L19" s="112" t="str">
        <f t="shared" si="6"/>
        <v/>
      </c>
      <c r="M19" s="113">
        <f t="shared" si="7"/>
        <v>0</v>
      </c>
      <c r="N19" s="130">
        <f t="shared" si="8"/>
        <v>0</v>
      </c>
      <c r="O19" s="130" t="str">
        <f t="shared" si="9"/>
        <v/>
      </c>
      <c r="P19" s="129">
        <f t="shared" si="10"/>
        <v>0</v>
      </c>
      <c r="Q19" s="109">
        <f t="shared" si="11"/>
        <v>0</v>
      </c>
      <c r="R19" s="115">
        <f t="shared" si="12"/>
        <v>0</v>
      </c>
      <c r="S19" s="106" t="str">
        <f t="shared" si="13"/>
        <v/>
      </c>
      <c r="T19" s="129">
        <f t="shared" si="14"/>
        <v>0</v>
      </c>
      <c r="U19" s="131">
        <f t="shared" si="15"/>
        <v>0</v>
      </c>
      <c r="V19" s="65"/>
      <c r="W19" s="64"/>
      <c r="Y19" s="132">
        <f t="shared" si="16"/>
        <v>0</v>
      </c>
      <c r="Z19" s="133">
        <f t="shared" si="17"/>
        <v>0</v>
      </c>
      <c r="AA19" s="17">
        <f t="shared" si="18"/>
        <v>0</v>
      </c>
      <c r="AB19" s="138">
        <f t="shared" si="19"/>
        <v>0</v>
      </c>
      <c r="AC19" s="135">
        <f t="shared" si="20"/>
        <v>0</v>
      </c>
      <c r="AD19" s="141">
        <f t="shared" si="21"/>
        <v>0</v>
      </c>
      <c r="AE19" s="139" t="e">
        <f t="shared" si="22"/>
        <v>#DIV/0!</v>
      </c>
      <c r="AF19" s="139" t="e">
        <f t="shared" si="23"/>
        <v>#DIV/0!</v>
      </c>
      <c r="AG19" s="139">
        <f>IFERROR(VLOOKUP(A19,DATA!$Q$2:$R$3,2,0),"")</f>
        <v>1</v>
      </c>
      <c r="AH19" s="136">
        <f t="shared" si="24"/>
        <v>444444.44444444444</v>
      </c>
      <c r="AI19" s="140">
        <f t="shared" si="27"/>
        <v>444444.44444444444</v>
      </c>
      <c r="AJ19" s="135" t="str">
        <f t="shared" si="25"/>
        <v/>
      </c>
      <c r="AK19" s="137" t="str">
        <f t="shared" si="26"/>
        <v/>
      </c>
      <c r="AL19" s="93">
        <v>0.93</v>
      </c>
      <c r="AM19" s="94">
        <v>0.86</v>
      </c>
    </row>
    <row r="20" spans="1:39" ht="20" hidden="1" customHeight="1" x14ac:dyDescent="0.25">
      <c r="A20" s="61"/>
      <c r="B20" s="124">
        <v>0</v>
      </c>
      <c r="C20" s="125" t="str">
        <f t="shared" si="3"/>
        <v/>
      </c>
      <c r="D20" s="126">
        <v>0</v>
      </c>
      <c r="E20" s="126">
        <v>0</v>
      </c>
      <c r="F20" s="127" t="str">
        <f>DATA!E9</f>
        <v/>
      </c>
      <c r="G20" s="128" t="str">
        <f>DATA!F9</f>
        <v/>
      </c>
      <c r="H20" s="128" t="str">
        <f>DATA!G9</f>
        <v/>
      </c>
      <c r="I20" s="125">
        <v>0</v>
      </c>
      <c r="J20" s="129">
        <f t="shared" si="4"/>
        <v>0</v>
      </c>
      <c r="K20" s="111">
        <f t="shared" si="5"/>
        <v>0</v>
      </c>
      <c r="L20" s="112" t="str">
        <f t="shared" si="6"/>
        <v/>
      </c>
      <c r="M20" s="113" t="str">
        <f t="shared" si="7"/>
        <v/>
      </c>
      <c r="N20" s="130" t="str">
        <f t="shared" si="8"/>
        <v/>
      </c>
      <c r="O20" s="130" t="str">
        <f t="shared" si="9"/>
        <v/>
      </c>
      <c r="P20" s="129">
        <f t="shared" si="10"/>
        <v>0</v>
      </c>
      <c r="Q20" s="109" t="e">
        <f t="shared" si="11"/>
        <v>#DIV/0!</v>
      </c>
      <c r="R20" s="115">
        <f t="shared" si="12"/>
        <v>0</v>
      </c>
      <c r="S20" s="106" t="str">
        <f t="shared" si="13"/>
        <v/>
      </c>
      <c r="T20" s="129">
        <f t="shared" si="14"/>
        <v>0</v>
      </c>
      <c r="U20" s="131">
        <f t="shared" si="15"/>
        <v>0</v>
      </c>
      <c r="V20" s="65">
        <v>0</v>
      </c>
      <c r="W20" s="64">
        <v>30</v>
      </c>
      <c r="Y20" s="132" t="str">
        <f t="shared" si="16"/>
        <v/>
      </c>
      <c r="Z20" s="133">
        <f t="shared" si="17"/>
        <v>0</v>
      </c>
      <c r="AA20" s="17" t="str">
        <f t="shared" si="18"/>
        <v/>
      </c>
      <c r="AB20" s="138">
        <f t="shared" si="19"/>
        <v>0</v>
      </c>
      <c r="AC20" s="135" t="e">
        <f t="shared" si="20"/>
        <v>#VALUE!</v>
      </c>
      <c r="AD20" s="141" t="e">
        <f t="shared" si="21"/>
        <v>#DIV/0!</v>
      </c>
      <c r="AE20" s="139" t="e">
        <f t="shared" si="22"/>
        <v>#VALUE!</v>
      </c>
      <c r="AF20" s="139" t="e">
        <f t="shared" si="23"/>
        <v>#DIV/0!</v>
      </c>
      <c r="AG20" s="139" t="str">
        <f>IFERROR(VLOOKUP(A20,DATA!$Q$2:$R$3,2,0),"")</f>
        <v/>
      </c>
      <c r="AH20" s="136" t="str">
        <f t="shared" si="24"/>
        <v/>
      </c>
      <c r="AI20" s="140" t="str">
        <f t="shared" si="27"/>
        <v/>
      </c>
      <c r="AJ20" s="135" t="str">
        <f t="shared" si="25"/>
        <v/>
      </c>
      <c r="AK20" s="137" t="str">
        <f t="shared" si="26"/>
        <v/>
      </c>
      <c r="AL20" s="93">
        <v>0.94</v>
      </c>
      <c r="AM20" s="94">
        <v>0.88</v>
      </c>
    </row>
    <row r="21" spans="1:39" ht="20" hidden="1" customHeight="1" x14ac:dyDescent="0.25">
      <c r="A21" s="61"/>
      <c r="B21" s="124">
        <v>0</v>
      </c>
      <c r="C21" s="125" t="str">
        <f t="shared" si="3"/>
        <v/>
      </c>
      <c r="D21" s="126">
        <v>0</v>
      </c>
      <c r="E21" s="126">
        <v>0</v>
      </c>
      <c r="F21" s="127" t="str">
        <f>DATA!E10</f>
        <v/>
      </c>
      <c r="G21" s="128" t="str">
        <f>DATA!F10</f>
        <v/>
      </c>
      <c r="H21" s="128" t="str">
        <f>DATA!G10</f>
        <v/>
      </c>
      <c r="I21" s="125">
        <v>0</v>
      </c>
      <c r="J21" s="129">
        <f t="shared" si="4"/>
        <v>0</v>
      </c>
      <c r="K21" s="111">
        <f t="shared" si="5"/>
        <v>0</v>
      </c>
      <c r="L21" s="112" t="str">
        <f t="shared" si="6"/>
        <v/>
      </c>
      <c r="M21" s="113" t="str">
        <f t="shared" si="7"/>
        <v/>
      </c>
      <c r="N21" s="130" t="str">
        <f t="shared" si="8"/>
        <v/>
      </c>
      <c r="O21" s="130" t="str">
        <f t="shared" si="9"/>
        <v/>
      </c>
      <c r="P21" s="129">
        <f t="shared" si="10"/>
        <v>0</v>
      </c>
      <c r="Q21" s="109" t="e">
        <f t="shared" si="11"/>
        <v>#DIV/0!</v>
      </c>
      <c r="R21" s="115">
        <f t="shared" si="12"/>
        <v>0</v>
      </c>
      <c r="S21" s="106" t="str">
        <f t="shared" si="13"/>
        <v/>
      </c>
      <c r="T21" s="129">
        <f t="shared" si="14"/>
        <v>0</v>
      </c>
      <c r="U21" s="131">
        <f t="shared" si="15"/>
        <v>0</v>
      </c>
      <c r="V21" s="65">
        <v>0</v>
      </c>
      <c r="W21" s="64">
        <v>30</v>
      </c>
      <c r="Y21" s="132" t="str">
        <f t="shared" si="16"/>
        <v/>
      </c>
      <c r="Z21" s="133">
        <f t="shared" si="17"/>
        <v>0</v>
      </c>
      <c r="AA21" s="17" t="str">
        <f t="shared" si="18"/>
        <v/>
      </c>
      <c r="AB21" s="138">
        <f t="shared" si="19"/>
        <v>0</v>
      </c>
      <c r="AC21" s="135" t="e">
        <f t="shared" si="20"/>
        <v>#VALUE!</v>
      </c>
      <c r="AD21" s="141" t="e">
        <f t="shared" si="21"/>
        <v>#DIV/0!</v>
      </c>
      <c r="AE21" s="139" t="e">
        <f t="shared" si="22"/>
        <v>#VALUE!</v>
      </c>
      <c r="AF21" s="139" t="e">
        <f t="shared" si="23"/>
        <v>#DIV/0!</v>
      </c>
      <c r="AG21" s="139" t="str">
        <f>IFERROR(VLOOKUP(A21,DATA!$Q$2:$R$3,2,0),"")</f>
        <v/>
      </c>
      <c r="AH21" s="136" t="str">
        <f t="shared" si="24"/>
        <v/>
      </c>
      <c r="AI21" s="140" t="str">
        <f t="shared" si="27"/>
        <v/>
      </c>
      <c r="AJ21" s="135" t="str">
        <f t="shared" si="25"/>
        <v/>
      </c>
      <c r="AK21" s="137" t="str">
        <f t="shared" si="26"/>
        <v/>
      </c>
      <c r="AL21" s="93">
        <v>0.95</v>
      </c>
      <c r="AM21" s="94">
        <v>0.9</v>
      </c>
    </row>
    <row r="22" spans="1:39" ht="20" hidden="1" customHeight="1" x14ac:dyDescent="0.25">
      <c r="A22" s="61"/>
      <c r="B22" s="124">
        <v>0</v>
      </c>
      <c r="C22" s="125" t="str">
        <f t="shared" si="3"/>
        <v/>
      </c>
      <c r="D22" s="126">
        <v>0</v>
      </c>
      <c r="E22" s="126">
        <v>0</v>
      </c>
      <c r="F22" s="127" t="str">
        <f>DATA!E11</f>
        <v/>
      </c>
      <c r="G22" s="128" t="str">
        <f>DATA!F11</f>
        <v/>
      </c>
      <c r="H22" s="128" t="str">
        <f>DATA!G11</f>
        <v/>
      </c>
      <c r="I22" s="125">
        <v>0</v>
      </c>
      <c r="J22" s="129">
        <f t="shared" si="4"/>
        <v>0</v>
      </c>
      <c r="K22" s="111">
        <f t="shared" si="5"/>
        <v>0</v>
      </c>
      <c r="L22" s="112" t="str">
        <f t="shared" si="6"/>
        <v/>
      </c>
      <c r="M22" s="113" t="str">
        <f t="shared" si="7"/>
        <v/>
      </c>
      <c r="N22" s="130" t="str">
        <f t="shared" si="8"/>
        <v/>
      </c>
      <c r="O22" s="130" t="str">
        <f t="shared" si="9"/>
        <v/>
      </c>
      <c r="P22" s="129">
        <f t="shared" si="10"/>
        <v>0</v>
      </c>
      <c r="Q22" s="109" t="e">
        <f t="shared" si="11"/>
        <v>#DIV/0!</v>
      </c>
      <c r="R22" s="115">
        <f t="shared" si="12"/>
        <v>0</v>
      </c>
      <c r="S22" s="106" t="str">
        <f t="shared" si="13"/>
        <v/>
      </c>
      <c r="T22" s="129">
        <f t="shared" si="14"/>
        <v>0</v>
      </c>
      <c r="U22" s="131">
        <f t="shared" si="15"/>
        <v>0</v>
      </c>
      <c r="V22" s="65">
        <v>0</v>
      </c>
      <c r="W22" s="64">
        <v>30</v>
      </c>
      <c r="Y22" s="132" t="str">
        <f t="shared" si="16"/>
        <v/>
      </c>
      <c r="Z22" s="133">
        <f t="shared" si="17"/>
        <v>0</v>
      </c>
      <c r="AA22" s="17" t="str">
        <f t="shared" si="18"/>
        <v/>
      </c>
      <c r="AB22" s="138">
        <f t="shared" si="19"/>
        <v>0</v>
      </c>
      <c r="AC22" s="135" t="e">
        <f t="shared" si="20"/>
        <v>#VALUE!</v>
      </c>
      <c r="AD22" s="141" t="e">
        <f t="shared" si="21"/>
        <v>#DIV/0!</v>
      </c>
      <c r="AE22" s="139" t="e">
        <f t="shared" si="22"/>
        <v>#VALUE!</v>
      </c>
      <c r="AF22" s="139" t="e">
        <f t="shared" si="23"/>
        <v>#DIV/0!</v>
      </c>
      <c r="AG22" s="139" t="str">
        <f>IFERROR(VLOOKUP(A22,DATA!$Q$2:$R$3,2,0),"")</f>
        <v/>
      </c>
      <c r="AH22" s="136" t="str">
        <f t="shared" si="24"/>
        <v/>
      </c>
      <c r="AI22" s="140" t="str">
        <f t="shared" si="27"/>
        <v/>
      </c>
      <c r="AJ22" s="135" t="str">
        <f t="shared" si="25"/>
        <v/>
      </c>
      <c r="AK22" s="137" t="str">
        <f t="shared" si="26"/>
        <v/>
      </c>
      <c r="AL22" s="93">
        <v>0.96</v>
      </c>
      <c r="AM22" s="94">
        <v>0.92</v>
      </c>
    </row>
    <row r="23" spans="1:39" ht="20" hidden="1" customHeight="1" x14ac:dyDescent="0.25">
      <c r="A23" s="61"/>
      <c r="B23" s="124">
        <v>0</v>
      </c>
      <c r="C23" s="125" t="str">
        <f t="shared" si="3"/>
        <v/>
      </c>
      <c r="D23" s="126">
        <v>0</v>
      </c>
      <c r="E23" s="126">
        <v>0</v>
      </c>
      <c r="F23" s="127" t="str">
        <f>DATA!E12</f>
        <v/>
      </c>
      <c r="G23" s="128" t="str">
        <f>DATA!F12</f>
        <v/>
      </c>
      <c r="H23" s="128" t="str">
        <f>DATA!G12</f>
        <v/>
      </c>
      <c r="I23" s="125">
        <v>0</v>
      </c>
      <c r="J23" s="129">
        <f t="shared" si="4"/>
        <v>0</v>
      </c>
      <c r="K23" s="111">
        <f t="shared" si="5"/>
        <v>0</v>
      </c>
      <c r="L23" s="112" t="str">
        <f t="shared" si="6"/>
        <v/>
      </c>
      <c r="M23" s="113" t="str">
        <f t="shared" si="7"/>
        <v/>
      </c>
      <c r="N23" s="130" t="str">
        <f t="shared" si="8"/>
        <v/>
      </c>
      <c r="O23" s="130" t="str">
        <f t="shared" si="9"/>
        <v/>
      </c>
      <c r="P23" s="129">
        <f t="shared" si="10"/>
        <v>0</v>
      </c>
      <c r="Q23" s="109" t="e">
        <f t="shared" si="11"/>
        <v>#DIV/0!</v>
      </c>
      <c r="R23" s="115">
        <f t="shared" si="12"/>
        <v>0</v>
      </c>
      <c r="S23" s="106" t="str">
        <f t="shared" si="13"/>
        <v/>
      </c>
      <c r="T23" s="129">
        <f t="shared" si="14"/>
        <v>0</v>
      </c>
      <c r="U23" s="131">
        <f t="shared" si="15"/>
        <v>0</v>
      </c>
      <c r="V23" s="65">
        <v>0</v>
      </c>
      <c r="W23" s="64">
        <v>30</v>
      </c>
      <c r="Y23" s="132" t="str">
        <f t="shared" si="16"/>
        <v/>
      </c>
      <c r="Z23" s="133">
        <f t="shared" si="17"/>
        <v>0</v>
      </c>
      <c r="AA23" s="17" t="str">
        <f t="shared" si="18"/>
        <v/>
      </c>
      <c r="AB23" s="138">
        <f t="shared" si="19"/>
        <v>0</v>
      </c>
      <c r="AC23" s="135" t="e">
        <f t="shared" si="20"/>
        <v>#VALUE!</v>
      </c>
      <c r="AD23" s="141" t="e">
        <f t="shared" si="21"/>
        <v>#DIV/0!</v>
      </c>
      <c r="AE23" s="139" t="e">
        <f t="shared" si="22"/>
        <v>#VALUE!</v>
      </c>
      <c r="AF23" s="139" t="e">
        <f t="shared" si="23"/>
        <v>#DIV/0!</v>
      </c>
      <c r="AG23" s="139" t="str">
        <f>IFERROR(VLOOKUP(A23,DATA!$Q$2:$R$3,2,0),"")</f>
        <v/>
      </c>
      <c r="AH23" s="136" t="str">
        <f t="shared" si="24"/>
        <v/>
      </c>
      <c r="AI23" s="140" t="str">
        <f t="shared" si="27"/>
        <v/>
      </c>
      <c r="AJ23" s="135" t="str">
        <f t="shared" si="25"/>
        <v/>
      </c>
      <c r="AK23" s="137" t="str">
        <f t="shared" si="26"/>
        <v/>
      </c>
      <c r="AL23" s="93">
        <v>0.97</v>
      </c>
      <c r="AM23" s="94">
        <v>0.94</v>
      </c>
    </row>
    <row r="24" spans="1:39" ht="20" hidden="1" customHeight="1" x14ac:dyDescent="0.25">
      <c r="A24" s="61"/>
      <c r="B24" s="124" t="e">
        <v>#N/A</v>
      </c>
      <c r="C24" s="125" t="str">
        <f t="shared" si="3"/>
        <v/>
      </c>
      <c r="D24" s="126" t="e">
        <v>#N/A</v>
      </c>
      <c r="E24" s="126" t="e">
        <v>#N/A</v>
      </c>
      <c r="F24" s="127" t="e">
        <f>DATA!#REF!</f>
        <v>#REF!</v>
      </c>
      <c r="G24" s="128" t="e">
        <f>DATA!#REF!</f>
        <v>#REF!</v>
      </c>
      <c r="H24" s="128" t="e">
        <f>DATA!#REF!</f>
        <v>#REF!</v>
      </c>
      <c r="I24" s="125" t="e">
        <v>#N/A</v>
      </c>
      <c r="J24" s="129">
        <f t="shared" si="4"/>
        <v>0</v>
      </c>
      <c r="K24" s="111">
        <f t="shared" si="5"/>
        <v>0</v>
      </c>
      <c r="L24" s="112" t="str">
        <f t="shared" si="6"/>
        <v/>
      </c>
      <c r="M24" s="113" t="str">
        <f t="shared" si="7"/>
        <v/>
      </c>
      <c r="N24" s="130" t="str">
        <f t="shared" si="8"/>
        <v/>
      </c>
      <c r="O24" s="130" t="str">
        <f t="shared" si="9"/>
        <v/>
      </c>
      <c r="P24" s="129">
        <f t="shared" si="10"/>
        <v>0</v>
      </c>
      <c r="Q24" s="109" t="e">
        <f t="shared" si="11"/>
        <v>#N/A</v>
      </c>
      <c r="R24" s="115">
        <f t="shared" si="12"/>
        <v>0</v>
      </c>
      <c r="S24" s="106" t="str">
        <f t="shared" si="13"/>
        <v/>
      </c>
      <c r="T24" s="129">
        <f t="shared" si="14"/>
        <v>0</v>
      </c>
      <c r="U24" s="131">
        <f t="shared" si="15"/>
        <v>0</v>
      </c>
      <c r="V24" s="65">
        <v>0</v>
      </c>
      <c r="W24" s="64">
        <v>30</v>
      </c>
      <c r="Y24" s="132" t="str">
        <f t="shared" si="16"/>
        <v/>
      </c>
      <c r="Z24" s="133">
        <f t="shared" si="17"/>
        <v>0</v>
      </c>
      <c r="AA24" s="17" t="str">
        <f t="shared" si="18"/>
        <v/>
      </c>
      <c r="AB24" s="138" t="e">
        <f t="shared" si="19"/>
        <v>#N/A</v>
      </c>
      <c r="AC24" s="135" t="e">
        <f t="shared" si="20"/>
        <v>#VALUE!</v>
      </c>
      <c r="AD24" s="141" t="e">
        <f t="shared" si="21"/>
        <v>#N/A</v>
      </c>
      <c r="AE24" s="139" t="e">
        <f t="shared" si="22"/>
        <v>#N/A</v>
      </c>
      <c r="AF24" s="139" t="e">
        <f t="shared" si="23"/>
        <v>#N/A</v>
      </c>
      <c r="AG24" s="139" t="str">
        <f>IFERROR(VLOOKUP(A24,DATA!$Q$2:$R$3,2,0),"")</f>
        <v/>
      </c>
      <c r="AH24" s="136" t="str">
        <f t="shared" si="24"/>
        <v/>
      </c>
      <c r="AI24" s="140" t="str">
        <f t="shared" si="27"/>
        <v/>
      </c>
      <c r="AJ24" s="135" t="str">
        <f t="shared" si="25"/>
        <v/>
      </c>
      <c r="AK24" s="137" t="str">
        <f t="shared" si="26"/>
        <v/>
      </c>
      <c r="AL24" s="93">
        <v>0.98</v>
      </c>
      <c r="AM24" s="94">
        <v>0.96</v>
      </c>
    </row>
    <row r="25" spans="1:39" ht="20" hidden="1" customHeight="1" x14ac:dyDescent="0.25">
      <c r="A25" s="61"/>
      <c r="B25" s="124" t="e">
        <v>#N/A</v>
      </c>
      <c r="C25" s="125" t="str">
        <f t="shared" si="3"/>
        <v/>
      </c>
      <c r="D25" s="126" t="e">
        <v>#N/A</v>
      </c>
      <c r="E25" s="126" t="e">
        <v>#N/A</v>
      </c>
      <c r="F25" s="127" t="e">
        <f>DATA!#REF!</f>
        <v>#REF!</v>
      </c>
      <c r="G25" s="128" t="e">
        <f>DATA!#REF!</f>
        <v>#REF!</v>
      </c>
      <c r="H25" s="128" t="e">
        <f>DATA!#REF!</f>
        <v>#REF!</v>
      </c>
      <c r="I25" s="125" t="e">
        <v>#N/A</v>
      </c>
      <c r="J25" s="129">
        <f t="shared" si="4"/>
        <v>0</v>
      </c>
      <c r="K25" s="111">
        <f t="shared" si="5"/>
        <v>0</v>
      </c>
      <c r="L25" s="112" t="str">
        <f t="shared" si="6"/>
        <v/>
      </c>
      <c r="M25" s="113" t="str">
        <f t="shared" si="7"/>
        <v/>
      </c>
      <c r="N25" s="130" t="str">
        <f t="shared" si="8"/>
        <v/>
      </c>
      <c r="O25" s="130" t="str">
        <f t="shared" si="9"/>
        <v/>
      </c>
      <c r="P25" s="129">
        <f t="shared" si="10"/>
        <v>0</v>
      </c>
      <c r="Q25" s="109" t="e">
        <f t="shared" si="11"/>
        <v>#N/A</v>
      </c>
      <c r="R25" s="115">
        <f t="shared" si="12"/>
        <v>0</v>
      </c>
      <c r="S25" s="106" t="str">
        <f t="shared" si="13"/>
        <v/>
      </c>
      <c r="T25" s="129">
        <f t="shared" si="14"/>
        <v>0</v>
      </c>
      <c r="U25" s="131">
        <f t="shared" si="15"/>
        <v>0</v>
      </c>
      <c r="V25" s="65">
        <v>0</v>
      </c>
      <c r="W25" s="64">
        <v>30</v>
      </c>
      <c r="Y25" s="132" t="str">
        <f t="shared" si="16"/>
        <v/>
      </c>
      <c r="Z25" s="133">
        <f t="shared" si="17"/>
        <v>0</v>
      </c>
      <c r="AA25" s="17" t="str">
        <f t="shared" si="18"/>
        <v/>
      </c>
      <c r="AB25" s="138" t="e">
        <f t="shared" si="19"/>
        <v>#N/A</v>
      </c>
      <c r="AC25" s="135" t="e">
        <f t="shared" si="20"/>
        <v>#VALUE!</v>
      </c>
      <c r="AD25" s="141" t="e">
        <f t="shared" si="21"/>
        <v>#N/A</v>
      </c>
      <c r="AE25" s="139" t="e">
        <f t="shared" si="22"/>
        <v>#N/A</v>
      </c>
      <c r="AF25" s="139" t="e">
        <f t="shared" si="23"/>
        <v>#N/A</v>
      </c>
      <c r="AG25" s="139" t="str">
        <f>IFERROR(VLOOKUP(A25,DATA!$Q$2:$R$3,2,0),"")</f>
        <v/>
      </c>
      <c r="AH25" s="136" t="str">
        <f t="shared" si="24"/>
        <v/>
      </c>
      <c r="AI25" s="140" t="str">
        <f t="shared" si="27"/>
        <v/>
      </c>
      <c r="AJ25" s="135" t="str">
        <f t="shared" si="25"/>
        <v/>
      </c>
      <c r="AK25" s="137" t="str">
        <f t="shared" si="26"/>
        <v/>
      </c>
      <c r="AL25" s="93">
        <v>0.99</v>
      </c>
      <c r="AM25" s="94">
        <v>0.98</v>
      </c>
    </row>
    <row r="26" spans="1:39" ht="20" hidden="1" customHeight="1" x14ac:dyDescent="0.25">
      <c r="A26" s="61"/>
      <c r="B26" s="124" t="e">
        <v>#N/A</v>
      </c>
      <c r="C26" s="125" t="str">
        <f t="shared" si="3"/>
        <v/>
      </c>
      <c r="D26" s="126" t="e">
        <v>#N/A</v>
      </c>
      <c r="E26" s="126" t="e">
        <v>#N/A</v>
      </c>
      <c r="F26" s="127" t="e">
        <f>DATA!#REF!</f>
        <v>#REF!</v>
      </c>
      <c r="G26" s="128" t="e">
        <f>DATA!#REF!</f>
        <v>#REF!</v>
      </c>
      <c r="H26" s="128" t="e">
        <f>DATA!#REF!</f>
        <v>#REF!</v>
      </c>
      <c r="I26" s="125" t="e">
        <v>#N/A</v>
      </c>
      <c r="J26" s="129">
        <f t="shared" si="4"/>
        <v>0</v>
      </c>
      <c r="K26" s="111">
        <f t="shared" si="5"/>
        <v>0</v>
      </c>
      <c r="L26" s="112" t="str">
        <f t="shared" si="6"/>
        <v/>
      </c>
      <c r="M26" s="113" t="str">
        <f t="shared" si="7"/>
        <v/>
      </c>
      <c r="N26" s="130" t="str">
        <f t="shared" si="8"/>
        <v/>
      </c>
      <c r="O26" s="130" t="str">
        <f t="shared" si="9"/>
        <v/>
      </c>
      <c r="P26" s="129">
        <f t="shared" si="10"/>
        <v>0</v>
      </c>
      <c r="Q26" s="109" t="e">
        <f t="shared" si="11"/>
        <v>#N/A</v>
      </c>
      <c r="R26" s="115">
        <f t="shared" si="12"/>
        <v>0</v>
      </c>
      <c r="S26" s="106" t="str">
        <f t="shared" si="13"/>
        <v/>
      </c>
      <c r="T26" s="129">
        <f t="shared" si="14"/>
        <v>0</v>
      </c>
      <c r="U26" s="131">
        <f t="shared" si="15"/>
        <v>0</v>
      </c>
      <c r="V26" s="65">
        <v>0</v>
      </c>
      <c r="W26" s="64">
        <v>30</v>
      </c>
      <c r="Y26" s="132" t="str">
        <f t="shared" si="16"/>
        <v/>
      </c>
      <c r="Z26" s="133">
        <f t="shared" si="17"/>
        <v>0</v>
      </c>
      <c r="AA26" s="17" t="str">
        <f t="shared" si="18"/>
        <v/>
      </c>
      <c r="AB26" s="138" t="e">
        <f t="shared" si="19"/>
        <v>#N/A</v>
      </c>
      <c r="AC26" s="135" t="e">
        <f t="shared" si="20"/>
        <v>#VALUE!</v>
      </c>
      <c r="AD26" s="141" t="e">
        <f t="shared" si="21"/>
        <v>#N/A</v>
      </c>
      <c r="AE26" s="139" t="e">
        <f t="shared" si="22"/>
        <v>#N/A</v>
      </c>
      <c r="AF26" s="139" t="e">
        <f t="shared" si="23"/>
        <v>#N/A</v>
      </c>
      <c r="AG26" s="139" t="str">
        <f>IFERROR(VLOOKUP(A26,DATA!$Q$2:$R$3,2,0),"")</f>
        <v/>
      </c>
      <c r="AH26" s="136" t="str">
        <f t="shared" si="24"/>
        <v/>
      </c>
      <c r="AI26" s="140" t="str">
        <f t="shared" si="27"/>
        <v/>
      </c>
      <c r="AJ26" s="135" t="str">
        <f t="shared" si="25"/>
        <v/>
      </c>
      <c r="AK26" s="137" t="str">
        <f t="shared" si="26"/>
        <v/>
      </c>
      <c r="AL26" s="93">
        <v>1</v>
      </c>
      <c r="AM26" s="94">
        <v>1</v>
      </c>
    </row>
    <row r="27" spans="1:39" ht="20" hidden="1" customHeight="1" x14ac:dyDescent="0.25">
      <c r="A27" s="61"/>
      <c r="B27" s="124" t="e">
        <v>#N/A</v>
      </c>
      <c r="C27" s="125" t="str">
        <f t="shared" si="3"/>
        <v/>
      </c>
      <c r="D27" s="126" t="e">
        <v>#N/A</v>
      </c>
      <c r="E27" s="126" t="e">
        <v>#N/A</v>
      </c>
      <c r="F27" s="127" t="e">
        <f>DATA!#REF!</f>
        <v>#REF!</v>
      </c>
      <c r="G27" s="128" t="e">
        <f>DATA!#REF!</f>
        <v>#REF!</v>
      </c>
      <c r="H27" s="128" t="e">
        <f>DATA!#REF!</f>
        <v>#REF!</v>
      </c>
      <c r="I27" s="125" t="e">
        <v>#N/A</v>
      </c>
      <c r="J27" s="129">
        <f t="shared" si="4"/>
        <v>0</v>
      </c>
      <c r="K27" s="111">
        <f t="shared" si="5"/>
        <v>0</v>
      </c>
      <c r="L27" s="112" t="str">
        <f t="shared" si="6"/>
        <v/>
      </c>
      <c r="M27" s="113" t="str">
        <f t="shared" si="7"/>
        <v/>
      </c>
      <c r="N27" s="130" t="str">
        <f t="shared" si="8"/>
        <v/>
      </c>
      <c r="O27" s="130" t="str">
        <f t="shared" si="9"/>
        <v/>
      </c>
      <c r="P27" s="129">
        <f t="shared" si="10"/>
        <v>0</v>
      </c>
      <c r="Q27" s="109" t="e">
        <f t="shared" si="11"/>
        <v>#N/A</v>
      </c>
      <c r="R27" s="115">
        <f t="shared" si="12"/>
        <v>0</v>
      </c>
      <c r="S27" s="106" t="str">
        <f t="shared" si="13"/>
        <v/>
      </c>
      <c r="T27" s="129">
        <f t="shared" si="14"/>
        <v>0</v>
      </c>
      <c r="U27" s="131">
        <f t="shared" si="15"/>
        <v>0</v>
      </c>
      <c r="V27" s="65">
        <v>0</v>
      </c>
      <c r="W27" s="64">
        <v>30</v>
      </c>
      <c r="Y27" s="132" t="str">
        <f t="shared" si="16"/>
        <v/>
      </c>
      <c r="Z27" s="133">
        <f t="shared" si="17"/>
        <v>0</v>
      </c>
      <c r="AA27" s="17" t="str">
        <f t="shared" si="18"/>
        <v/>
      </c>
      <c r="AB27" s="138" t="e">
        <f t="shared" si="19"/>
        <v>#N/A</v>
      </c>
      <c r="AC27" s="135" t="e">
        <f t="shared" si="20"/>
        <v>#VALUE!</v>
      </c>
      <c r="AD27" s="141" t="e">
        <f t="shared" si="21"/>
        <v>#N/A</v>
      </c>
      <c r="AE27" s="139" t="e">
        <f t="shared" si="22"/>
        <v>#N/A</v>
      </c>
      <c r="AF27" s="139" t="e">
        <f t="shared" si="23"/>
        <v>#N/A</v>
      </c>
      <c r="AG27" s="139" t="str">
        <f>IFERROR(VLOOKUP(A27,DATA!$Q$2:$R$3,2,0),"")</f>
        <v/>
      </c>
      <c r="AH27" s="136" t="str">
        <f t="shared" si="24"/>
        <v/>
      </c>
      <c r="AI27" s="140" t="str">
        <f t="shared" si="27"/>
        <v/>
      </c>
      <c r="AJ27" s="135" t="str">
        <f t="shared" si="25"/>
        <v/>
      </c>
      <c r="AK27" s="137" t="str">
        <f t="shared" si="26"/>
        <v/>
      </c>
      <c r="AL27" s="93">
        <v>1.01</v>
      </c>
      <c r="AM27" s="94">
        <v>1.01</v>
      </c>
    </row>
    <row r="28" spans="1:39" ht="20" hidden="1" customHeight="1" x14ac:dyDescent="0.25">
      <c r="A28" s="61"/>
      <c r="B28" s="124" t="e">
        <v>#N/A</v>
      </c>
      <c r="C28" s="125" t="str">
        <f t="shared" si="3"/>
        <v/>
      </c>
      <c r="D28" s="126" t="e">
        <v>#N/A</v>
      </c>
      <c r="E28" s="126" t="e">
        <v>#N/A</v>
      </c>
      <c r="F28" s="127" t="e">
        <f>DATA!#REF!</f>
        <v>#REF!</v>
      </c>
      <c r="G28" s="128" t="e">
        <f>DATA!#REF!</f>
        <v>#REF!</v>
      </c>
      <c r="H28" s="128" t="e">
        <f>DATA!#REF!</f>
        <v>#REF!</v>
      </c>
      <c r="I28" s="125" t="e">
        <v>#N/A</v>
      </c>
      <c r="J28" s="129">
        <f t="shared" si="4"/>
        <v>0</v>
      </c>
      <c r="K28" s="111">
        <f t="shared" si="5"/>
        <v>0</v>
      </c>
      <c r="L28" s="112" t="str">
        <f t="shared" si="6"/>
        <v/>
      </c>
      <c r="M28" s="113" t="str">
        <f t="shared" si="7"/>
        <v/>
      </c>
      <c r="N28" s="130" t="str">
        <f t="shared" si="8"/>
        <v/>
      </c>
      <c r="O28" s="130" t="str">
        <f t="shared" si="9"/>
        <v/>
      </c>
      <c r="P28" s="129">
        <f t="shared" si="10"/>
        <v>0</v>
      </c>
      <c r="Q28" s="109" t="e">
        <f t="shared" si="11"/>
        <v>#N/A</v>
      </c>
      <c r="R28" s="115">
        <f t="shared" si="12"/>
        <v>0</v>
      </c>
      <c r="S28" s="106" t="str">
        <f t="shared" si="13"/>
        <v/>
      </c>
      <c r="T28" s="129">
        <f t="shared" si="14"/>
        <v>0</v>
      </c>
      <c r="U28" s="131">
        <f t="shared" si="15"/>
        <v>0</v>
      </c>
      <c r="V28" s="65">
        <v>0</v>
      </c>
      <c r="W28" s="64">
        <v>30</v>
      </c>
      <c r="Y28" s="132" t="str">
        <f t="shared" si="16"/>
        <v/>
      </c>
      <c r="Z28" s="133">
        <f t="shared" si="17"/>
        <v>0</v>
      </c>
      <c r="AA28" s="17" t="str">
        <f t="shared" si="18"/>
        <v/>
      </c>
      <c r="AB28" s="138" t="e">
        <f t="shared" si="19"/>
        <v>#N/A</v>
      </c>
      <c r="AC28" s="135" t="e">
        <f t="shared" si="20"/>
        <v>#VALUE!</v>
      </c>
      <c r="AD28" s="141" t="e">
        <f t="shared" si="21"/>
        <v>#N/A</v>
      </c>
      <c r="AE28" s="139" t="e">
        <f t="shared" si="22"/>
        <v>#N/A</v>
      </c>
      <c r="AF28" s="139" t="e">
        <f t="shared" si="23"/>
        <v>#N/A</v>
      </c>
      <c r="AG28" s="139" t="str">
        <f>IFERROR(VLOOKUP(A28,DATA!$Q$2:$R$3,2,0),"")</f>
        <v/>
      </c>
      <c r="AH28" s="136" t="str">
        <f t="shared" si="24"/>
        <v/>
      </c>
      <c r="AI28" s="140" t="str">
        <f t="shared" si="27"/>
        <v/>
      </c>
      <c r="AJ28" s="135" t="str">
        <f t="shared" si="25"/>
        <v/>
      </c>
      <c r="AK28" s="137" t="str">
        <f t="shared" si="26"/>
        <v/>
      </c>
      <c r="AL28" s="93">
        <v>1.02</v>
      </c>
      <c r="AM28" s="94">
        <v>1.02</v>
      </c>
    </row>
    <row r="29" spans="1:39" ht="20" hidden="1" customHeight="1" x14ac:dyDescent="0.25">
      <c r="A29" s="61"/>
      <c r="B29" s="124" t="e">
        <v>#N/A</v>
      </c>
      <c r="C29" s="125" t="str">
        <f t="shared" si="3"/>
        <v/>
      </c>
      <c r="D29" s="126" t="e">
        <v>#N/A</v>
      </c>
      <c r="E29" s="126" t="e">
        <v>#N/A</v>
      </c>
      <c r="F29" s="127" t="e">
        <f>DATA!#REF!</f>
        <v>#REF!</v>
      </c>
      <c r="G29" s="128" t="e">
        <f>DATA!#REF!</f>
        <v>#REF!</v>
      </c>
      <c r="H29" s="128" t="e">
        <f>DATA!#REF!</f>
        <v>#REF!</v>
      </c>
      <c r="I29" s="125" t="e">
        <v>#N/A</v>
      </c>
      <c r="J29" s="129">
        <f t="shared" si="4"/>
        <v>0</v>
      </c>
      <c r="K29" s="111">
        <f t="shared" si="5"/>
        <v>0</v>
      </c>
      <c r="L29" s="112" t="str">
        <f t="shared" si="6"/>
        <v/>
      </c>
      <c r="M29" s="113" t="str">
        <f t="shared" si="7"/>
        <v/>
      </c>
      <c r="N29" s="130" t="str">
        <f t="shared" si="8"/>
        <v/>
      </c>
      <c r="O29" s="130" t="str">
        <f t="shared" si="9"/>
        <v/>
      </c>
      <c r="P29" s="129">
        <f t="shared" si="10"/>
        <v>0</v>
      </c>
      <c r="Q29" s="109" t="e">
        <f t="shared" si="11"/>
        <v>#N/A</v>
      </c>
      <c r="R29" s="115">
        <f t="shared" si="12"/>
        <v>0</v>
      </c>
      <c r="S29" s="106" t="str">
        <f t="shared" si="13"/>
        <v/>
      </c>
      <c r="T29" s="129">
        <f t="shared" si="14"/>
        <v>0</v>
      </c>
      <c r="U29" s="131">
        <f t="shared" si="15"/>
        <v>0</v>
      </c>
      <c r="V29" s="65">
        <v>0</v>
      </c>
      <c r="W29" s="64">
        <v>30</v>
      </c>
      <c r="Y29" s="132" t="str">
        <f t="shared" si="16"/>
        <v/>
      </c>
      <c r="Z29" s="133">
        <f t="shared" si="17"/>
        <v>0</v>
      </c>
      <c r="AA29" s="17" t="str">
        <f t="shared" si="18"/>
        <v/>
      </c>
      <c r="AB29" s="138" t="e">
        <f t="shared" si="19"/>
        <v>#N/A</v>
      </c>
      <c r="AC29" s="135" t="e">
        <f t="shared" si="20"/>
        <v>#VALUE!</v>
      </c>
      <c r="AD29" s="141" t="e">
        <f t="shared" si="21"/>
        <v>#N/A</v>
      </c>
      <c r="AE29" s="139" t="e">
        <f t="shared" si="22"/>
        <v>#N/A</v>
      </c>
      <c r="AF29" s="139" t="e">
        <f t="shared" si="23"/>
        <v>#N/A</v>
      </c>
      <c r="AG29" s="139" t="str">
        <f>IFERROR(VLOOKUP(A29,DATA!$Q$2:$R$3,2,0),"")</f>
        <v/>
      </c>
      <c r="AH29" s="136" t="str">
        <f t="shared" si="24"/>
        <v/>
      </c>
      <c r="AI29" s="140" t="str">
        <f t="shared" si="27"/>
        <v/>
      </c>
      <c r="AJ29" s="135" t="str">
        <f t="shared" si="25"/>
        <v/>
      </c>
      <c r="AK29" s="137" t="str">
        <f t="shared" si="26"/>
        <v/>
      </c>
      <c r="AL29" s="93">
        <v>1.03</v>
      </c>
      <c r="AM29" s="94">
        <v>1.03</v>
      </c>
    </row>
    <row r="30" spans="1:39" ht="20" hidden="1" customHeight="1" x14ac:dyDescent="0.25">
      <c r="A30" s="61"/>
      <c r="B30" s="124" t="e">
        <v>#N/A</v>
      </c>
      <c r="C30" s="125" t="str">
        <f t="shared" si="3"/>
        <v/>
      </c>
      <c r="D30" s="126" t="e">
        <v>#N/A</v>
      </c>
      <c r="E30" s="126" t="e">
        <v>#N/A</v>
      </c>
      <c r="F30" s="127" t="e">
        <f>DATA!#REF!</f>
        <v>#REF!</v>
      </c>
      <c r="G30" s="128" t="e">
        <f>DATA!#REF!</f>
        <v>#REF!</v>
      </c>
      <c r="H30" s="128" t="e">
        <f>DATA!#REF!</f>
        <v>#REF!</v>
      </c>
      <c r="I30" s="125" t="e">
        <v>#N/A</v>
      </c>
      <c r="J30" s="129">
        <f t="shared" si="4"/>
        <v>0</v>
      </c>
      <c r="K30" s="111">
        <f t="shared" si="5"/>
        <v>0</v>
      </c>
      <c r="L30" s="112" t="str">
        <f t="shared" si="6"/>
        <v/>
      </c>
      <c r="M30" s="113" t="str">
        <f t="shared" si="7"/>
        <v/>
      </c>
      <c r="N30" s="130" t="str">
        <f t="shared" si="8"/>
        <v/>
      </c>
      <c r="O30" s="130" t="str">
        <f t="shared" si="9"/>
        <v/>
      </c>
      <c r="P30" s="129">
        <f t="shared" si="10"/>
        <v>0</v>
      </c>
      <c r="Q30" s="109" t="e">
        <f t="shared" si="11"/>
        <v>#N/A</v>
      </c>
      <c r="R30" s="115">
        <f t="shared" si="12"/>
        <v>0</v>
      </c>
      <c r="S30" s="106" t="str">
        <f t="shared" si="13"/>
        <v/>
      </c>
      <c r="T30" s="129">
        <f t="shared" si="14"/>
        <v>0</v>
      </c>
      <c r="U30" s="131">
        <f t="shared" si="15"/>
        <v>0</v>
      </c>
      <c r="V30" s="65">
        <v>0</v>
      </c>
      <c r="W30" s="64">
        <v>30</v>
      </c>
      <c r="Y30" s="132" t="str">
        <f t="shared" si="16"/>
        <v/>
      </c>
      <c r="Z30" s="133">
        <f t="shared" si="17"/>
        <v>0</v>
      </c>
      <c r="AA30" s="17" t="str">
        <f t="shared" si="18"/>
        <v/>
      </c>
      <c r="AB30" s="138" t="e">
        <f t="shared" si="19"/>
        <v>#N/A</v>
      </c>
      <c r="AC30" s="135" t="e">
        <f t="shared" si="20"/>
        <v>#VALUE!</v>
      </c>
      <c r="AD30" s="141" t="e">
        <f t="shared" si="21"/>
        <v>#N/A</v>
      </c>
      <c r="AE30" s="139" t="e">
        <f t="shared" si="22"/>
        <v>#N/A</v>
      </c>
      <c r="AF30" s="139" t="e">
        <f t="shared" si="23"/>
        <v>#N/A</v>
      </c>
      <c r="AG30" s="139" t="str">
        <f>IFERROR(VLOOKUP(A30,DATA!$Q$2:$R$3,2,0),"")</f>
        <v/>
      </c>
      <c r="AH30" s="136" t="str">
        <f t="shared" si="24"/>
        <v/>
      </c>
      <c r="AI30" s="140" t="str">
        <f t="shared" si="27"/>
        <v/>
      </c>
      <c r="AJ30" s="135" t="str">
        <f t="shared" si="25"/>
        <v/>
      </c>
      <c r="AK30" s="137" t="str">
        <f t="shared" si="26"/>
        <v/>
      </c>
      <c r="AL30" s="93">
        <v>1.04</v>
      </c>
      <c r="AM30" s="94">
        <v>1.04</v>
      </c>
    </row>
    <row r="31" spans="1:39" ht="20" hidden="1" customHeight="1" thickBot="1" x14ac:dyDescent="0.3">
      <c r="A31" s="61"/>
      <c r="B31" s="124" t="e">
        <v>#N/A</v>
      </c>
      <c r="C31" s="125" t="str">
        <f t="shared" si="3"/>
        <v/>
      </c>
      <c r="D31" s="126" t="e">
        <v>#N/A</v>
      </c>
      <c r="E31" s="126" t="e">
        <v>#N/A</v>
      </c>
      <c r="F31" s="127" t="e">
        <f>DATA!#REF!</f>
        <v>#REF!</v>
      </c>
      <c r="G31" s="128" t="e">
        <f>DATA!#REF!</f>
        <v>#REF!</v>
      </c>
      <c r="H31" s="128" t="e">
        <f>DATA!#REF!</f>
        <v>#REF!</v>
      </c>
      <c r="I31" s="125" t="e">
        <v>#N/A</v>
      </c>
      <c r="J31" s="129">
        <f t="shared" si="4"/>
        <v>0</v>
      </c>
      <c r="K31" s="111">
        <f t="shared" si="5"/>
        <v>0</v>
      </c>
      <c r="L31" s="112" t="str">
        <f t="shared" si="6"/>
        <v/>
      </c>
      <c r="M31" s="113" t="str">
        <f t="shared" si="7"/>
        <v/>
      </c>
      <c r="N31" s="130" t="str">
        <f t="shared" si="8"/>
        <v/>
      </c>
      <c r="O31" s="130" t="str">
        <f t="shared" si="9"/>
        <v/>
      </c>
      <c r="P31" s="129">
        <f t="shared" si="10"/>
        <v>0</v>
      </c>
      <c r="Q31" s="109" t="e">
        <f t="shared" si="11"/>
        <v>#N/A</v>
      </c>
      <c r="R31" s="115">
        <f t="shared" si="12"/>
        <v>0</v>
      </c>
      <c r="S31" s="106" t="str">
        <f t="shared" si="13"/>
        <v/>
      </c>
      <c r="T31" s="129">
        <f t="shared" si="14"/>
        <v>0</v>
      </c>
      <c r="U31" s="131">
        <f t="shared" si="15"/>
        <v>0</v>
      </c>
      <c r="V31" s="65">
        <v>0</v>
      </c>
      <c r="W31" s="64">
        <v>30</v>
      </c>
      <c r="Y31" s="142" t="str">
        <f t="shared" si="16"/>
        <v/>
      </c>
      <c r="Z31" s="143">
        <f t="shared" si="17"/>
        <v>0</v>
      </c>
      <c r="AA31" s="144" t="str">
        <f t="shared" si="18"/>
        <v/>
      </c>
      <c r="AB31" s="145" t="e">
        <f t="shared" si="19"/>
        <v>#N/A</v>
      </c>
      <c r="AC31" s="146" t="e">
        <f t="shared" si="20"/>
        <v>#VALUE!</v>
      </c>
      <c r="AD31" s="147" t="e">
        <f t="shared" si="21"/>
        <v>#N/A</v>
      </c>
      <c r="AE31" s="148" t="e">
        <f t="shared" si="22"/>
        <v>#N/A</v>
      </c>
      <c r="AF31" s="148" t="e">
        <f t="shared" si="23"/>
        <v>#N/A</v>
      </c>
      <c r="AG31" s="148" t="str">
        <f>IFERROR(VLOOKUP(A31,DATA!$Q$2:$R$3,2,0),"")</f>
        <v/>
      </c>
      <c r="AH31" s="149" t="str">
        <f t="shared" si="24"/>
        <v/>
      </c>
      <c r="AI31" s="150" t="str">
        <f t="shared" si="27"/>
        <v/>
      </c>
      <c r="AJ31" s="146" t="str">
        <f t="shared" si="25"/>
        <v/>
      </c>
      <c r="AK31" s="151" t="str">
        <f t="shared" si="26"/>
        <v/>
      </c>
      <c r="AL31" s="93">
        <v>1.05</v>
      </c>
      <c r="AM31" s="94">
        <v>1.05</v>
      </c>
    </row>
    <row r="32" spans="1:39" s="159" customFormat="1" ht="20" customHeight="1" thickBot="1" x14ac:dyDescent="0.3">
      <c r="A32" s="174" t="s">
        <v>52</v>
      </c>
      <c r="B32" s="175"/>
      <c r="C32" s="152">
        <f>SUM(C13:C31)</f>
        <v>3000000</v>
      </c>
      <c r="D32" s="153">
        <f>SUM(D13:D19)</f>
        <v>105</v>
      </c>
      <c r="E32" s="153">
        <f>SUM(E13:E19)</f>
        <v>163</v>
      </c>
      <c r="F32" s="154">
        <f>E32/D32</f>
        <v>1.5523809523809524</v>
      </c>
      <c r="G32" s="155">
        <f>I32/D32</f>
        <v>5999.8285714285712</v>
      </c>
      <c r="H32" s="155">
        <f>I32/E32</f>
        <v>3864.9202453987732</v>
      </c>
      <c r="I32" s="155">
        <f>SUM(I13:I19)</f>
        <v>629982</v>
      </c>
      <c r="J32" s="156">
        <f>IFERROR(I32/C32,)</f>
        <v>0.20999399999999999</v>
      </c>
      <c r="K32" s="156">
        <f>SUM(K13:K31)</f>
        <v>1</v>
      </c>
      <c r="L32" s="155">
        <f>SUM(L13:L31)</f>
        <v>0</v>
      </c>
      <c r="M32" s="155">
        <f>SUM(M13:M31)</f>
        <v>45900</v>
      </c>
      <c r="N32" s="155">
        <f>SUM(N13:N31)</f>
        <v>2370018</v>
      </c>
      <c r="O32" s="155">
        <f>SUM(O13:O31)</f>
        <v>103044.26086956522</v>
      </c>
      <c r="P32" s="157"/>
      <c r="Q32" s="152">
        <f>SUM(Q13:Q19)</f>
        <v>2498372.2142857146</v>
      </c>
      <c r="R32" s="156">
        <f>SUM(R13:R19)</f>
        <v>0.99999999999999978</v>
      </c>
      <c r="S32" s="155">
        <f>SUM(S13:S31)</f>
        <v>25272.537537369688</v>
      </c>
      <c r="T32" s="158">
        <f>IFERROR(Q32/C32,)</f>
        <v>0.83279073809523818</v>
      </c>
      <c r="U32" s="165"/>
      <c r="V32" s="166">
        <f>SUM(V13:V19)</f>
        <v>39</v>
      </c>
      <c r="W32" s="167">
        <f>SUM(W13:W19)</f>
        <v>154</v>
      </c>
      <c r="Y32" s="160">
        <f>SUM(Y13:Y31)</f>
        <v>146.25</v>
      </c>
      <c r="Z32" s="164">
        <f>SUM(Z13:Z31)</f>
        <v>1787</v>
      </c>
      <c r="AA32" s="162">
        <f>SUM(AA13:AA31)</f>
        <v>3000000</v>
      </c>
      <c r="AC32" s="162"/>
      <c r="AG32" s="159">
        <f>SUM(AG13:AG31)</f>
        <v>6.75</v>
      </c>
      <c r="AH32" s="161">
        <f>SUM(AH13:AH31)</f>
        <v>3000000</v>
      </c>
      <c r="AL32" s="93">
        <v>1.06</v>
      </c>
      <c r="AM32" s="94">
        <v>1.06</v>
      </c>
    </row>
    <row r="33" spans="8:39" ht="15" customHeight="1" thickTop="1" x14ac:dyDescent="0.25">
      <c r="AA33" s="163"/>
      <c r="AL33" s="93">
        <v>1.07</v>
      </c>
      <c r="AM33" s="94">
        <v>1.07</v>
      </c>
    </row>
    <row r="34" spans="8:39" x14ac:dyDescent="0.25">
      <c r="AA34" s="163"/>
      <c r="AL34" s="93">
        <v>1.08</v>
      </c>
      <c r="AM34" s="94">
        <v>1.08</v>
      </c>
    </row>
    <row r="35" spans="8:39" x14ac:dyDescent="0.25">
      <c r="AL35" s="93">
        <v>1.0900000000000001</v>
      </c>
      <c r="AM35" s="94">
        <v>1.0900000000000001</v>
      </c>
    </row>
    <row r="36" spans="8:39" x14ac:dyDescent="0.25">
      <c r="AL36" s="93">
        <v>1.1000000000000001</v>
      </c>
      <c r="AM36" s="94">
        <v>1.1000000000000001</v>
      </c>
    </row>
    <row r="37" spans="8:39" x14ac:dyDescent="0.25">
      <c r="H37" s="74"/>
      <c r="I37" s="74"/>
      <c r="J37" s="74"/>
      <c r="K37" s="74"/>
      <c r="L37" s="74"/>
      <c r="M37" s="74"/>
      <c r="N37" s="74"/>
      <c r="O37" s="74"/>
      <c r="P37" s="74"/>
      <c r="Q37" s="74"/>
      <c r="AL37" s="93">
        <v>1.1100000000000001</v>
      </c>
      <c r="AM37" s="94">
        <v>1.1100000000000001</v>
      </c>
    </row>
    <row r="38" spans="8:39" x14ac:dyDescent="0.25">
      <c r="H38" s="74"/>
      <c r="I38" s="74"/>
      <c r="J38" s="74"/>
      <c r="K38" s="74"/>
      <c r="L38" s="74"/>
      <c r="M38" s="74"/>
      <c r="N38" s="74"/>
      <c r="O38" s="74"/>
      <c r="P38" s="74"/>
      <c r="Q38" s="74"/>
      <c r="AL38" s="93">
        <v>1.1200000000000001</v>
      </c>
      <c r="AM38" s="94">
        <v>1.1200000000000001</v>
      </c>
    </row>
    <row r="39" spans="8:39" x14ac:dyDescent="0.25">
      <c r="H39" s="74"/>
      <c r="I39" s="74"/>
      <c r="J39" s="74"/>
      <c r="K39" s="74"/>
      <c r="L39" s="74"/>
      <c r="M39" s="74"/>
      <c r="N39" s="74"/>
      <c r="O39" s="74"/>
      <c r="P39" s="74"/>
      <c r="Q39" s="74"/>
      <c r="AL39" s="93">
        <v>1.1299999999999999</v>
      </c>
      <c r="AM39" s="94">
        <v>1.1299999999999999</v>
      </c>
    </row>
    <row r="40" spans="8:39" x14ac:dyDescent="0.25">
      <c r="H40" s="74"/>
      <c r="I40" s="74"/>
      <c r="J40" s="74"/>
      <c r="K40" s="74"/>
      <c r="L40" s="74"/>
      <c r="M40" s="74"/>
      <c r="N40" s="74"/>
      <c r="O40" s="74"/>
      <c r="P40" s="74"/>
      <c r="Q40" s="74"/>
      <c r="AL40" s="93">
        <v>1.1399999999999999</v>
      </c>
      <c r="AM40" s="94">
        <v>1.1399999999999999</v>
      </c>
    </row>
    <row r="41" spans="8:39" x14ac:dyDescent="0.25">
      <c r="H41" s="74"/>
      <c r="I41" s="74"/>
      <c r="J41" s="74"/>
      <c r="K41" s="74"/>
      <c r="L41" s="74"/>
      <c r="M41" s="74"/>
      <c r="N41" s="74"/>
      <c r="O41" s="74"/>
      <c r="P41" s="74"/>
      <c r="Q41" s="74"/>
      <c r="AL41" s="93">
        <v>1.1499999999999999</v>
      </c>
      <c r="AM41" s="94">
        <v>1.1499999999999999</v>
      </c>
    </row>
    <row r="42" spans="8:39" x14ac:dyDescent="0.25">
      <c r="H42" s="74"/>
      <c r="I42" s="74"/>
      <c r="J42" s="74"/>
      <c r="K42" s="74"/>
      <c r="L42" s="74"/>
      <c r="M42" s="74"/>
      <c r="N42" s="74"/>
      <c r="O42" s="74"/>
      <c r="P42" s="74"/>
      <c r="Q42" s="74"/>
      <c r="AL42" s="93">
        <v>1.1599999999999999</v>
      </c>
      <c r="AM42" s="94">
        <v>1.1599999999999999</v>
      </c>
    </row>
    <row r="43" spans="8:39" x14ac:dyDescent="0.25">
      <c r="H43" s="74"/>
      <c r="I43" s="74"/>
      <c r="J43" s="74"/>
      <c r="K43" s="74"/>
      <c r="L43" s="74"/>
      <c r="M43" s="74"/>
      <c r="N43" s="74"/>
      <c r="O43" s="74"/>
      <c r="P43" s="74"/>
      <c r="Q43" s="74"/>
      <c r="AL43" s="93">
        <v>1.17</v>
      </c>
      <c r="AM43" s="94">
        <v>1.17</v>
      </c>
    </row>
    <row r="44" spans="8:39" x14ac:dyDescent="0.25">
      <c r="H44" s="74"/>
      <c r="I44" s="74"/>
      <c r="J44" s="74"/>
      <c r="K44" s="74"/>
      <c r="L44" s="74"/>
      <c r="M44" s="74"/>
      <c r="N44" s="74"/>
      <c r="O44" s="74"/>
      <c r="P44" s="74"/>
      <c r="Q44" s="74"/>
      <c r="AL44" s="93">
        <v>1.18</v>
      </c>
      <c r="AM44" s="94">
        <v>1.18</v>
      </c>
    </row>
    <row r="45" spans="8:39" x14ac:dyDescent="0.25">
      <c r="H45" s="74"/>
      <c r="I45" s="74"/>
      <c r="J45" s="74"/>
      <c r="K45" s="74"/>
      <c r="L45" s="74"/>
      <c r="M45" s="74"/>
      <c r="N45" s="74"/>
      <c r="O45" s="74"/>
      <c r="P45" s="74"/>
      <c r="Q45" s="74"/>
      <c r="AL45" s="93">
        <v>1.19</v>
      </c>
      <c r="AM45" s="94">
        <v>1.19</v>
      </c>
    </row>
    <row r="46" spans="8:39" x14ac:dyDescent="0.25">
      <c r="H46" s="74"/>
      <c r="I46" s="74"/>
      <c r="J46" s="74"/>
      <c r="K46" s="74"/>
      <c r="L46" s="74"/>
      <c r="M46" s="74"/>
      <c r="N46" s="74"/>
      <c r="O46" s="74"/>
      <c r="P46" s="74"/>
      <c r="Q46" s="74"/>
      <c r="AL46" s="93">
        <v>1.2</v>
      </c>
      <c r="AM46" s="94">
        <v>1.2</v>
      </c>
    </row>
    <row r="47" spans="8:39" x14ac:dyDescent="0.25">
      <c r="H47" s="74"/>
      <c r="I47" s="74"/>
      <c r="J47" s="74"/>
      <c r="K47" s="74"/>
      <c r="L47" s="74"/>
      <c r="M47" s="74"/>
      <c r="N47" s="74"/>
      <c r="O47" s="74"/>
      <c r="P47" s="74"/>
      <c r="Q47" s="74"/>
      <c r="AL47" s="93">
        <v>1.21</v>
      </c>
      <c r="AM47" s="94">
        <v>1.2</v>
      </c>
    </row>
    <row r="48" spans="8:39" x14ac:dyDescent="0.25">
      <c r="H48" s="74"/>
      <c r="I48" s="74"/>
      <c r="J48" s="74"/>
      <c r="K48" s="74"/>
      <c r="L48" s="74"/>
      <c r="M48" s="74"/>
      <c r="N48" s="74"/>
      <c r="O48" s="74"/>
      <c r="P48" s="74"/>
      <c r="Q48" s="74"/>
      <c r="AL48" s="93">
        <v>1.22</v>
      </c>
      <c r="AM48" s="94">
        <v>1.2</v>
      </c>
    </row>
    <row r="49" spans="8:39" x14ac:dyDescent="0.25">
      <c r="H49" s="74"/>
      <c r="I49" s="74"/>
      <c r="J49" s="74"/>
      <c r="K49" s="74"/>
      <c r="L49" s="74"/>
      <c r="M49" s="74"/>
      <c r="N49" s="74"/>
      <c r="O49" s="74"/>
      <c r="P49" s="74"/>
      <c r="Q49" s="74"/>
      <c r="AL49" s="93">
        <v>1.23</v>
      </c>
      <c r="AM49" s="94">
        <v>1.2</v>
      </c>
    </row>
    <row r="50" spans="8:39" x14ac:dyDescent="0.25">
      <c r="H50" s="74"/>
      <c r="I50" s="74"/>
      <c r="J50" s="74"/>
      <c r="K50" s="74"/>
      <c r="L50" s="74"/>
      <c r="M50" s="74"/>
      <c r="N50" s="74"/>
      <c r="O50" s="74"/>
      <c r="P50" s="74"/>
      <c r="Q50" s="74"/>
      <c r="AL50" s="93">
        <v>1.24</v>
      </c>
      <c r="AM50" s="94">
        <v>1.2</v>
      </c>
    </row>
    <row r="51" spans="8:39" x14ac:dyDescent="0.25">
      <c r="H51" s="74"/>
      <c r="I51" s="74"/>
      <c r="J51" s="74"/>
      <c r="K51" s="74"/>
      <c r="L51" s="74"/>
      <c r="M51" s="74"/>
      <c r="N51" s="74"/>
      <c r="O51" s="74"/>
      <c r="P51" s="74"/>
      <c r="Q51" s="74"/>
      <c r="AL51" s="93">
        <v>1.25</v>
      </c>
      <c r="AM51" s="94">
        <v>1.2</v>
      </c>
    </row>
    <row r="52" spans="8:39" x14ac:dyDescent="0.25">
      <c r="H52" s="74"/>
      <c r="I52" s="74"/>
      <c r="J52" s="74"/>
      <c r="K52" s="74"/>
      <c r="L52" s="74"/>
      <c r="M52" s="74"/>
      <c r="N52" s="74"/>
      <c r="O52" s="74"/>
      <c r="P52" s="74"/>
      <c r="Q52" s="74"/>
      <c r="AL52" s="93">
        <v>1.26</v>
      </c>
      <c r="AM52" s="94">
        <v>1.2</v>
      </c>
    </row>
    <row r="53" spans="8:39" x14ac:dyDescent="0.25">
      <c r="H53" s="74"/>
      <c r="I53" s="74"/>
      <c r="J53" s="74"/>
      <c r="K53" s="74"/>
      <c r="L53" s="74"/>
      <c r="M53" s="74"/>
      <c r="N53" s="74"/>
      <c r="O53" s="74"/>
      <c r="P53" s="74"/>
      <c r="Q53" s="74"/>
      <c r="AL53" s="93">
        <v>1.27</v>
      </c>
      <c r="AM53" s="94">
        <v>1.2</v>
      </c>
    </row>
    <row r="54" spans="8:39" x14ac:dyDescent="0.25">
      <c r="H54" s="74"/>
      <c r="I54" s="74"/>
      <c r="J54" s="74"/>
      <c r="K54" s="74"/>
      <c r="L54" s="74"/>
      <c r="M54" s="74"/>
      <c r="N54" s="74"/>
      <c r="O54" s="74"/>
      <c r="P54" s="74"/>
      <c r="Q54" s="74"/>
      <c r="AL54" s="93">
        <v>1.28</v>
      </c>
      <c r="AM54" s="94">
        <v>1.2</v>
      </c>
    </row>
    <row r="55" spans="8:39" x14ac:dyDescent="0.25">
      <c r="H55" s="74"/>
      <c r="I55" s="74"/>
      <c r="J55" s="74"/>
      <c r="K55" s="74"/>
      <c r="L55" s="74"/>
      <c r="M55" s="74"/>
      <c r="N55" s="74"/>
      <c r="O55" s="74"/>
      <c r="P55" s="74"/>
      <c r="Q55" s="74"/>
      <c r="AL55" s="93">
        <v>1.29</v>
      </c>
      <c r="AM55" s="94">
        <v>1.2</v>
      </c>
    </row>
    <row r="56" spans="8:39" x14ac:dyDescent="0.25">
      <c r="H56" s="74"/>
      <c r="I56" s="74"/>
      <c r="J56" s="74"/>
      <c r="K56" s="74"/>
      <c r="L56" s="74"/>
      <c r="M56" s="74"/>
      <c r="N56" s="74"/>
      <c r="O56" s="74"/>
      <c r="P56" s="74"/>
      <c r="Q56" s="74"/>
      <c r="AL56" s="93">
        <v>1.3</v>
      </c>
      <c r="AM56" s="94">
        <v>1.2</v>
      </c>
    </row>
    <row r="57" spans="8:39" x14ac:dyDescent="0.25">
      <c r="H57" s="74"/>
      <c r="I57" s="74"/>
      <c r="J57" s="74"/>
      <c r="K57" s="74"/>
      <c r="L57" s="74"/>
      <c r="M57" s="74"/>
      <c r="N57" s="74"/>
      <c r="O57" s="74"/>
      <c r="P57" s="74"/>
      <c r="Q57" s="74"/>
      <c r="AL57" s="93">
        <v>1.31</v>
      </c>
      <c r="AM57" s="94">
        <v>1.2</v>
      </c>
    </row>
    <row r="58" spans="8:39" x14ac:dyDescent="0.25">
      <c r="AL58" s="93">
        <v>1.32</v>
      </c>
      <c r="AM58" s="94">
        <v>1.2</v>
      </c>
    </row>
    <row r="59" spans="8:39" x14ac:dyDescent="0.25">
      <c r="AL59" s="93">
        <v>1.33</v>
      </c>
      <c r="AM59" s="94">
        <v>1.2</v>
      </c>
    </row>
    <row r="60" spans="8:39" x14ac:dyDescent="0.25">
      <c r="AL60" s="93">
        <v>1.34</v>
      </c>
      <c r="AM60" s="94">
        <v>1.2</v>
      </c>
    </row>
    <row r="61" spans="8:39" x14ac:dyDescent="0.25">
      <c r="AL61" s="93">
        <v>1.35</v>
      </c>
      <c r="AM61" s="94">
        <v>1.2</v>
      </c>
    </row>
    <row r="62" spans="8:39" x14ac:dyDescent="0.25">
      <c r="AL62" s="93">
        <v>1.36</v>
      </c>
      <c r="AM62" s="94">
        <v>1.2</v>
      </c>
    </row>
    <row r="63" spans="8:39" x14ac:dyDescent="0.25">
      <c r="AL63" s="93">
        <v>1.37</v>
      </c>
      <c r="AM63" s="94">
        <v>1.2</v>
      </c>
    </row>
    <row r="64" spans="8:39" x14ac:dyDescent="0.25">
      <c r="AL64" s="93">
        <v>1.38</v>
      </c>
      <c r="AM64" s="94">
        <v>1.2</v>
      </c>
    </row>
    <row r="65" spans="38:39" x14ac:dyDescent="0.25">
      <c r="AL65" s="93">
        <v>1.39</v>
      </c>
      <c r="AM65" s="94">
        <v>1.2</v>
      </c>
    </row>
    <row r="66" spans="38:39" x14ac:dyDescent="0.25">
      <c r="AL66" s="93">
        <v>1.4</v>
      </c>
      <c r="AM66" s="94">
        <v>1.2</v>
      </c>
    </row>
    <row r="67" spans="38:39" x14ac:dyDescent="0.25">
      <c r="AL67" s="93">
        <v>1.41</v>
      </c>
      <c r="AM67" s="94">
        <v>1.2</v>
      </c>
    </row>
    <row r="68" spans="38:39" x14ac:dyDescent="0.25">
      <c r="AL68" s="93">
        <v>1.42</v>
      </c>
      <c r="AM68" s="94">
        <v>1.2</v>
      </c>
    </row>
    <row r="69" spans="38:39" x14ac:dyDescent="0.25">
      <c r="AL69" s="93">
        <v>1.43</v>
      </c>
      <c r="AM69" s="94">
        <v>1.2</v>
      </c>
    </row>
    <row r="70" spans="38:39" x14ac:dyDescent="0.25">
      <c r="AL70" s="93">
        <v>1.44</v>
      </c>
      <c r="AM70" s="94">
        <v>1.2</v>
      </c>
    </row>
    <row r="71" spans="38:39" x14ac:dyDescent="0.25">
      <c r="AL71" s="93">
        <v>1.45</v>
      </c>
      <c r="AM71" s="94">
        <v>1.2</v>
      </c>
    </row>
    <row r="72" spans="38:39" x14ac:dyDescent="0.25">
      <c r="AL72" s="93">
        <v>1.46</v>
      </c>
      <c r="AM72" s="94">
        <v>1.2</v>
      </c>
    </row>
    <row r="73" spans="38:39" x14ac:dyDescent="0.25">
      <c r="AL73" s="93">
        <v>1.47</v>
      </c>
      <c r="AM73" s="94">
        <v>1.2</v>
      </c>
    </row>
    <row r="74" spans="38:39" x14ac:dyDescent="0.25">
      <c r="AL74" s="93">
        <v>1.48</v>
      </c>
      <c r="AM74" s="94">
        <v>1.2</v>
      </c>
    </row>
    <row r="75" spans="38:39" x14ac:dyDescent="0.25">
      <c r="AL75" s="93">
        <v>1.49</v>
      </c>
      <c r="AM75" s="94">
        <v>1.2</v>
      </c>
    </row>
    <row r="76" spans="38:39" x14ac:dyDescent="0.25">
      <c r="AL76" s="93">
        <v>1.5</v>
      </c>
      <c r="AM76" s="94">
        <v>1.2</v>
      </c>
    </row>
    <row r="77" spans="38:39" x14ac:dyDescent="0.25">
      <c r="AL77" s="93">
        <v>1.51</v>
      </c>
      <c r="AM77" s="94">
        <v>1.2</v>
      </c>
    </row>
    <row r="78" spans="38:39" x14ac:dyDescent="0.25">
      <c r="AL78" s="93">
        <v>1.52</v>
      </c>
      <c r="AM78" s="94">
        <v>1.2</v>
      </c>
    </row>
    <row r="79" spans="38:39" x14ac:dyDescent="0.25">
      <c r="AL79" s="93">
        <v>1.53</v>
      </c>
      <c r="AM79" s="94">
        <v>1.2</v>
      </c>
    </row>
    <row r="80" spans="38:39" x14ac:dyDescent="0.25">
      <c r="AL80" s="93">
        <v>1.54</v>
      </c>
      <c r="AM80" s="94">
        <v>1.2</v>
      </c>
    </row>
    <row r="81" spans="38:39" x14ac:dyDescent="0.25">
      <c r="AL81" s="93">
        <v>1.55</v>
      </c>
      <c r="AM81" s="94">
        <v>1.2</v>
      </c>
    </row>
    <row r="82" spans="38:39" x14ac:dyDescent="0.25">
      <c r="AL82" s="93">
        <v>1.56</v>
      </c>
      <c r="AM82" s="94">
        <v>1.2</v>
      </c>
    </row>
    <row r="83" spans="38:39" x14ac:dyDescent="0.25">
      <c r="AL83" s="93">
        <v>1.57</v>
      </c>
      <c r="AM83" s="94">
        <v>1.2</v>
      </c>
    </row>
    <row r="84" spans="38:39" x14ac:dyDescent="0.25">
      <c r="AL84" s="93">
        <v>1.58</v>
      </c>
      <c r="AM84" s="94">
        <v>1.2</v>
      </c>
    </row>
    <row r="85" spans="38:39" x14ac:dyDescent="0.25">
      <c r="AL85" s="93">
        <v>1.59</v>
      </c>
      <c r="AM85" s="94">
        <v>1.2</v>
      </c>
    </row>
    <row r="86" spans="38:39" x14ac:dyDescent="0.25">
      <c r="AL86" s="93">
        <v>1.6</v>
      </c>
      <c r="AM86" s="94">
        <v>1.2</v>
      </c>
    </row>
    <row r="87" spans="38:39" x14ac:dyDescent="0.25">
      <c r="AL87" s="93">
        <v>1.61</v>
      </c>
      <c r="AM87" s="94">
        <v>1.2</v>
      </c>
    </row>
    <row r="88" spans="38:39" x14ac:dyDescent="0.25">
      <c r="AL88" s="93">
        <v>1.62</v>
      </c>
      <c r="AM88" s="94">
        <v>1.2</v>
      </c>
    </row>
    <row r="89" spans="38:39" x14ac:dyDescent="0.25">
      <c r="AL89" s="93">
        <v>1.63</v>
      </c>
      <c r="AM89" s="94">
        <v>1.2</v>
      </c>
    </row>
    <row r="90" spans="38:39" x14ac:dyDescent="0.25">
      <c r="AL90" s="93">
        <v>1.64</v>
      </c>
      <c r="AM90" s="94">
        <v>1.2</v>
      </c>
    </row>
    <row r="91" spans="38:39" x14ac:dyDescent="0.25">
      <c r="AL91" s="93">
        <v>1.65</v>
      </c>
      <c r="AM91" s="94">
        <v>1.2</v>
      </c>
    </row>
    <row r="92" spans="38:39" x14ac:dyDescent="0.25">
      <c r="AL92" s="93">
        <v>1.66</v>
      </c>
      <c r="AM92" s="94">
        <v>1.2</v>
      </c>
    </row>
    <row r="93" spans="38:39" x14ac:dyDescent="0.25">
      <c r="AL93" s="93">
        <v>1.67</v>
      </c>
      <c r="AM93" s="94">
        <v>1.2</v>
      </c>
    </row>
    <row r="94" spans="38:39" x14ac:dyDescent="0.25">
      <c r="AL94" s="93">
        <v>1.68</v>
      </c>
      <c r="AM94" s="94">
        <v>1.2</v>
      </c>
    </row>
    <row r="95" spans="38:39" x14ac:dyDescent="0.25">
      <c r="AL95" s="93">
        <v>1.69</v>
      </c>
      <c r="AM95" s="94">
        <v>1.2</v>
      </c>
    </row>
    <row r="96" spans="38:39" x14ac:dyDescent="0.25">
      <c r="AL96" s="93">
        <v>1.7</v>
      </c>
      <c r="AM96" s="94">
        <v>1.2</v>
      </c>
    </row>
    <row r="97" spans="38:39" x14ac:dyDescent="0.25">
      <c r="AL97" s="93">
        <v>1.71</v>
      </c>
      <c r="AM97" s="94">
        <v>1.2</v>
      </c>
    </row>
    <row r="98" spans="38:39" x14ac:dyDescent="0.25">
      <c r="AL98" s="93">
        <v>1.72</v>
      </c>
      <c r="AM98" s="94">
        <v>1.2</v>
      </c>
    </row>
    <row r="99" spans="38:39" x14ac:dyDescent="0.25">
      <c r="AL99" s="93">
        <v>1.73</v>
      </c>
      <c r="AM99" s="94">
        <v>1.2</v>
      </c>
    </row>
    <row r="100" spans="38:39" x14ac:dyDescent="0.25">
      <c r="AL100" s="93">
        <v>1.74</v>
      </c>
      <c r="AM100" s="94">
        <v>1.2</v>
      </c>
    </row>
    <row r="101" spans="38:39" x14ac:dyDescent="0.25">
      <c r="AL101" s="93">
        <v>1.75</v>
      </c>
      <c r="AM101" s="94">
        <v>1.2</v>
      </c>
    </row>
    <row r="102" spans="38:39" x14ac:dyDescent="0.25">
      <c r="AL102" s="93">
        <v>1.76</v>
      </c>
      <c r="AM102" s="94">
        <v>1.2</v>
      </c>
    </row>
    <row r="103" spans="38:39" x14ac:dyDescent="0.25">
      <c r="AL103" s="93">
        <v>1.77</v>
      </c>
      <c r="AM103" s="94">
        <v>1.2</v>
      </c>
    </row>
    <row r="104" spans="38:39" x14ac:dyDescent="0.25">
      <c r="AL104" s="93">
        <v>1.78</v>
      </c>
      <c r="AM104" s="94">
        <v>1.2</v>
      </c>
    </row>
    <row r="105" spans="38:39" x14ac:dyDescent="0.25">
      <c r="AL105" s="93">
        <v>1.79</v>
      </c>
      <c r="AM105" s="94">
        <v>1.2</v>
      </c>
    </row>
    <row r="106" spans="38:39" x14ac:dyDescent="0.25">
      <c r="AL106" s="93">
        <v>1.8</v>
      </c>
      <c r="AM106" s="94">
        <v>1.2</v>
      </c>
    </row>
    <row r="107" spans="38:39" x14ac:dyDescent="0.25">
      <c r="AL107" s="93">
        <v>1.81</v>
      </c>
      <c r="AM107" s="94">
        <v>1.2</v>
      </c>
    </row>
    <row r="108" spans="38:39" x14ac:dyDescent="0.25">
      <c r="AL108" s="93">
        <v>1.82</v>
      </c>
      <c r="AM108" s="94">
        <v>1.2</v>
      </c>
    </row>
    <row r="109" spans="38:39" x14ac:dyDescent="0.25">
      <c r="AL109" s="93">
        <v>1.83</v>
      </c>
      <c r="AM109" s="94">
        <v>1.2</v>
      </c>
    </row>
    <row r="110" spans="38:39" x14ac:dyDescent="0.25">
      <c r="AL110" s="93">
        <v>1.84</v>
      </c>
      <c r="AM110" s="94">
        <v>1.2</v>
      </c>
    </row>
    <row r="111" spans="38:39" x14ac:dyDescent="0.25">
      <c r="AL111" s="93">
        <v>1.85</v>
      </c>
      <c r="AM111" s="94">
        <v>1.2</v>
      </c>
    </row>
    <row r="112" spans="38:39" x14ac:dyDescent="0.25">
      <c r="AL112" s="93">
        <v>1.86</v>
      </c>
      <c r="AM112" s="94">
        <v>1.2</v>
      </c>
    </row>
    <row r="113" spans="38:39" x14ac:dyDescent="0.25">
      <c r="AL113" s="93">
        <v>1.87</v>
      </c>
      <c r="AM113" s="94">
        <v>1.2</v>
      </c>
    </row>
    <row r="114" spans="38:39" x14ac:dyDescent="0.25">
      <c r="AL114" s="93">
        <v>1.88</v>
      </c>
      <c r="AM114" s="94">
        <v>1.2</v>
      </c>
    </row>
    <row r="115" spans="38:39" x14ac:dyDescent="0.25">
      <c r="AL115" s="93">
        <v>1.89</v>
      </c>
      <c r="AM115" s="94">
        <v>1.2</v>
      </c>
    </row>
    <row r="116" spans="38:39" x14ac:dyDescent="0.25">
      <c r="AL116" s="93">
        <v>1.9</v>
      </c>
      <c r="AM116" s="94">
        <v>1.2</v>
      </c>
    </row>
    <row r="117" spans="38:39" x14ac:dyDescent="0.25">
      <c r="AL117" s="93">
        <v>1.91</v>
      </c>
      <c r="AM117" s="94">
        <v>1.2</v>
      </c>
    </row>
    <row r="118" spans="38:39" x14ac:dyDescent="0.25">
      <c r="AL118" s="93">
        <v>1.92</v>
      </c>
      <c r="AM118" s="94">
        <v>1.2</v>
      </c>
    </row>
    <row r="119" spans="38:39" x14ac:dyDescent="0.25">
      <c r="AL119" s="93">
        <v>1.93</v>
      </c>
      <c r="AM119" s="94">
        <v>1.2</v>
      </c>
    </row>
    <row r="120" spans="38:39" x14ac:dyDescent="0.25">
      <c r="AL120" s="93">
        <v>1.94</v>
      </c>
      <c r="AM120" s="94">
        <v>1.2</v>
      </c>
    </row>
    <row r="121" spans="38:39" x14ac:dyDescent="0.25">
      <c r="AL121" s="93">
        <v>1.95</v>
      </c>
      <c r="AM121" s="94">
        <v>1.2</v>
      </c>
    </row>
    <row r="122" spans="38:39" x14ac:dyDescent="0.25">
      <c r="AL122" s="93">
        <v>1.96</v>
      </c>
      <c r="AM122" s="94">
        <v>1.2</v>
      </c>
    </row>
    <row r="123" spans="38:39" x14ac:dyDescent="0.25">
      <c r="AL123" s="93">
        <v>1.97</v>
      </c>
      <c r="AM123" s="94">
        <v>1.2</v>
      </c>
    </row>
    <row r="124" spans="38:39" x14ac:dyDescent="0.25">
      <c r="AL124" s="93">
        <v>1.98</v>
      </c>
      <c r="AM124" s="94">
        <v>1.2</v>
      </c>
    </row>
    <row r="125" spans="38:39" x14ac:dyDescent="0.25">
      <c r="AL125" s="93">
        <v>1.99</v>
      </c>
      <c r="AM125" s="94">
        <v>1.2</v>
      </c>
    </row>
    <row r="126" spans="38:39" x14ac:dyDescent="0.25">
      <c r="AL126" s="93">
        <v>2</v>
      </c>
      <c r="AM126" s="94">
        <v>1.2</v>
      </c>
    </row>
  </sheetData>
  <sheetProtection algorithmName="SHA-512" hashValue="XSllOsHti19sr/QFZW1cSgXbn5AzP9/tZnjecYHzBnK/j/k7Ta30DaYBVHNb0fPZ6YkLaieF4gc8h/MFk+ap2Q==" saltValue="fFauPDPahDCKPRQfgNxjXw==" spinCount="100000" sheet="1" objects="1" scenarios="1"/>
  <mergeCells count="3">
    <mergeCell ref="A32:B32"/>
    <mergeCell ref="AM9:AM10"/>
    <mergeCell ref="AL9:AL10"/>
  </mergeCells>
  <conditionalFormatting sqref="I13:I31 K13:K31">
    <cfRule type="dataBar" priority="4">
      <dataBar>
        <cfvo type="min"/>
        <cfvo type="max"/>
        <color rgb="FF638EC6"/>
      </dataBar>
    </cfRule>
    <cfRule type="notContainsBlanks" priority="5">
      <formula>LEN(TRIM(I13))&gt;0</formula>
    </cfRule>
    <cfRule type="uniqueValues" priority="6"/>
  </conditionalFormatting>
  <conditionalFormatting sqref="J13:J31">
    <cfRule type="dataBar" priority="2">
      <dataBar>
        <cfvo type="percent" val="0"/>
        <cfvo type="percent" val="100"/>
        <color rgb="FF638EC6"/>
      </dataBar>
    </cfRule>
  </conditionalFormatting>
  <conditionalFormatting sqref="P13:P31">
    <cfRule type="dataBar" priority="3">
      <dataBar>
        <cfvo type="percent" val="0"/>
        <cfvo type="percent" val="100"/>
        <color rgb="FF638EC6"/>
      </dataBar>
    </cfRule>
  </conditionalFormatting>
  <dataValidations count="1">
    <dataValidation type="list" allowBlank="1" showInputMessage="1" showErrorMessage="1" sqref="A13:A19" xr:uid="{066290C8-7E89-48B4-AE62-A1FCE7865BC4}">
      <formula1>$A$13:$A$19</formula1>
    </dataValidation>
  </dataValidations>
  <printOptions horizontalCentered="1" verticalCentered="1"/>
  <pageMargins left="0.25" right="0.25" top="0.75" bottom="0.75" header="0.3" footer="0.3"/>
  <pageSetup paperSize="9" scale="4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44"/>
  <sheetViews>
    <sheetView showGridLines="0" workbookViewId="0">
      <selection activeCell="C6" sqref="C6"/>
    </sheetView>
  </sheetViews>
  <sheetFormatPr defaultColWidth="8.85546875" defaultRowHeight="14.3" x14ac:dyDescent="0.25"/>
  <cols>
    <col min="1" max="1" width="20.7109375" style="14" customWidth="1"/>
    <col min="2" max="2" width="16.28515625" style="15" bestFit="1" customWidth="1"/>
    <col min="3" max="3" width="9.28515625" style="14" customWidth="1"/>
    <col min="4" max="4" width="11.5703125" style="14" customWidth="1"/>
    <col min="5" max="5" width="12" style="6" bestFit="1" customWidth="1"/>
    <col min="6" max="16" width="8.85546875" style="6" customWidth="1"/>
    <col min="17" max="17" width="12.28515625" style="6" hidden="1" customWidth="1"/>
    <col min="18" max="18" width="0" style="6" hidden="1"/>
    <col min="19" max="19" width="8.85546875" style="6" customWidth="1"/>
    <col min="20" max="16384" width="8.85546875" style="6"/>
  </cols>
  <sheetData>
    <row r="1" spans="1:18" ht="40.65" customHeight="1" x14ac:dyDescent="0.25">
      <c r="A1" s="3" t="s">
        <v>20</v>
      </c>
      <c r="B1" s="7" t="s">
        <v>27</v>
      </c>
      <c r="C1" s="4" t="s">
        <v>22</v>
      </c>
      <c r="D1" s="5" t="s">
        <v>23</v>
      </c>
      <c r="E1" s="5" t="s">
        <v>24</v>
      </c>
      <c r="F1" s="5" t="s">
        <v>25</v>
      </c>
      <c r="G1" s="5" t="s">
        <v>26</v>
      </c>
    </row>
    <row r="2" spans="1:18" x14ac:dyDescent="0.25">
      <c r="A2" s="18" t="s">
        <v>53</v>
      </c>
      <c r="B2" s="19">
        <v>177755</v>
      </c>
      <c r="C2" s="18">
        <v>30</v>
      </c>
      <c r="D2" s="18">
        <v>46</v>
      </c>
      <c r="E2" s="16">
        <f t="shared" ref="E2:E12" si="0">IFERROR((D2/C2),"")</f>
        <v>1.5333333333333334</v>
      </c>
      <c r="F2" s="17">
        <f t="shared" ref="F2:F12" si="1">IFERROR((B2/C2),"")</f>
        <v>5925.166666666667</v>
      </c>
      <c r="G2" s="17">
        <f t="shared" ref="G2:G12" si="2">IFERROR((B2/D2),"")</f>
        <v>3864.2391304347825</v>
      </c>
      <c r="Q2" s="6" t="s">
        <v>51</v>
      </c>
      <c r="R2" s="6">
        <v>1</v>
      </c>
    </row>
    <row r="3" spans="1:18" x14ac:dyDescent="0.25">
      <c r="A3" s="18" t="s">
        <v>67</v>
      </c>
      <c r="B3" s="19">
        <v>106106</v>
      </c>
      <c r="C3" s="18">
        <v>19</v>
      </c>
      <c r="D3" s="18">
        <v>28</v>
      </c>
      <c r="E3" s="16">
        <f t="shared" si="0"/>
        <v>1.4736842105263157</v>
      </c>
      <c r="F3" s="17">
        <f t="shared" si="1"/>
        <v>5584.5263157894733</v>
      </c>
      <c r="G3" s="17">
        <f t="shared" si="2"/>
        <v>3789.5</v>
      </c>
      <c r="Q3" s="6" t="s">
        <v>50</v>
      </c>
      <c r="R3" s="6">
        <v>0.75</v>
      </c>
    </row>
    <row r="4" spans="1:18" x14ac:dyDescent="0.25">
      <c r="A4" s="18" t="s">
        <v>54</v>
      </c>
      <c r="B4" s="19">
        <v>139250</v>
      </c>
      <c r="C4" s="18">
        <v>25</v>
      </c>
      <c r="D4" s="18">
        <v>36</v>
      </c>
      <c r="E4" s="16">
        <f t="shared" si="0"/>
        <v>1.44</v>
      </c>
      <c r="F4" s="17">
        <f t="shared" si="1"/>
        <v>5570</v>
      </c>
      <c r="G4" s="17">
        <f t="shared" si="2"/>
        <v>3868.0555555555557</v>
      </c>
    </row>
    <row r="5" spans="1:18" x14ac:dyDescent="0.25">
      <c r="A5" s="18" t="s">
        <v>66</v>
      </c>
      <c r="B5" s="19">
        <v>124369</v>
      </c>
      <c r="C5" s="18">
        <v>16</v>
      </c>
      <c r="D5" s="18">
        <v>34</v>
      </c>
      <c r="E5" s="16">
        <f t="shared" si="0"/>
        <v>2.125</v>
      </c>
      <c r="F5" s="17">
        <f t="shared" si="1"/>
        <v>7773.0625</v>
      </c>
      <c r="G5" s="17">
        <f t="shared" si="2"/>
        <v>3657.9117647058824</v>
      </c>
    </row>
    <row r="6" spans="1:18" x14ac:dyDescent="0.25">
      <c r="A6" s="18" t="s">
        <v>68</v>
      </c>
      <c r="B6" s="19">
        <v>82502</v>
      </c>
      <c r="C6" s="18">
        <v>15</v>
      </c>
      <c r="D6" s="18">
        <v>19</v>
      </c>
      <c r="E6" s="16">
        <f t="shared" si="0"/>
        <v>1.2666666666666666</v>
      </c>
      <c r="F6" s="17">
        <f t="shared" si="1"/>
        <v>5500.1333333333332</v>
      </c>
      <c r="G6" s="17">
        <f t="shared" si="2"/>
        <v>4342.2105263157891</v>
      </c>
    </row>
    <row r="7" spans="1:18" x14ac:dyDescent="0.25">
      <c r="A7" s="18"/>
      <c r="B7" s="19"/>
      <c r="C7" s="18"/>
      <c r="D7" s="18"/>
      <c r="E7" s="16" t="str">
        <f t="shared" si="0"/>
        <v/>
      </c>
      <c r="F7" s="17" t="str">
        <f t="shared" si="1"/>
        <v/>
      </c>
      <c r="G7" s="17" t="str">
        <f t="shared" si="2"/>
        <v/>
      </c>
    </row>
    <row r="8" spans="1:18" x14ac:dyDescent="0.25">
      <c r="A8" s="18"/>
      <c r="B8" s="19"/>
      <c r="C8" s="18"/>
      <c r="D8" s="18"/>
      <c r="E8" s="16" t="str">
        <f t="shared" si="0"/>
        <v/>
      </c>
      <c r="F8" s="17" t="str">
        <f t="shared" si="1"/>
        <v/>
      </c>
      <c r="G8" s="17" t="str">
        <f t="shared" si="2"/>
        <v/>
      </c>
    </row>
    <row r="9" spans="1:18" x14ac:dyDescent="0.25">
      <c r="A9" s="18"/>
      <c r="B9" s="19"/>
      <c r="C9" s="18"/>
      <c r="D9" s="18"/>
      <c r="E9" s="16" t="str">
        <f t="shared" si="0"/>
        <v/>
      </c>
      <c r="F9" s="17" t="str">
        <f t="shared" si="1"/>
        <v/>
      </c>
      <c r="G9" s="17" t="str">
        <f t="shared" si="2"/>
        <v/>
      </c>
    </row>
    <row r="10" spans="1:18" x14ac:dyDescent="0.25">
      <c r="A10" s="18"/>
      <c r="B10" s="19"/>
      <c r="C10" s="18"/>
      <c r="D10" s="18"/>
      <c r="E10" s="16" t="str">
        <f t="shared" si="0"/>
        <v/>
      </c>
      <c r="F10" s="17" t="str">
        <f t="shared" si="1"/>
        <v/>
      </c>
      <c r="G10" s="17" t="str">
        <f t="shared" si="2"/>
        <v/>
      </c>
    </row>
    <row r="11" spans="1:18" x14ac:dyDescent="0.25">
      <c r="E11" s="11" t="str">
        <f t="shared" si="0"/>
        <v/>
      </c>
      <c r="F11" s="12" t="str">
        <f t="shared" si="1"/>
        <v/>
      </c>
      <c r="G11" s="12" t="str">
        <f t="shared" si="2"/>
        <v/>
      </c>
    </row>
    <row r="12" spans="1:18" x14ac:dyDescent="0.25">
      <c r="E12" s="11" t="str">
        <f t="shared" si="0"/>
        <v/>
      </c>
      <c r="F12" s="12" t="str">
        <f t="shared" si="1"/>
        <v/>
      </c>
      <c r="G12" s="12" t="str">
        <f t="shared" si="2"/>
        <v/>
      </c>
    </row>
    <row r="13" spans="1:18" x14ac:dyDescent="0.25">
      <c r="E13" s="11"/>
      <c r="F13" s="12"/>
      <c r="G13" s="12"/>
    </row>
    <row r="14" spans="1:18" x14ac:dyDescent="0.25">
      <c r="E14" s="11"/>
      <c r="F14" s="12"/>
      <c r="G14" s="12"/>
    </row>
    <row r="15" spans="1:18" x14ac:dyDescent="0.25">
      <c r="E15" s="13"/>
      <c r="F15" s="13"/>
      <c r="G15" s="13"/>
    </row>
    <row r="16" spans="1:18" x14ac:dyDescent="0.25">
      <c r="E16" s="13"/>
      <c r="F16" s="13"/>
      <c r="G16" s="13"/>
    </row>
    <row r="17" spans="5:12" x14ac:dyDescent="0.25">
      <c r="E17" s="13"/>
      <c r="F17" s="13"/>
      <c r="G17" s="13"/>
    </row>
    <row r="18" spans="5:12" x14ac:dyDescent="0.25">
      <c r="E18" s="13"/>
      <c r="F18" s="13"/>
      <c r="G18" s="13"/>
    </row>
    <row r="19" spans="5:12" x14ac:dyDescent="0.25">
      <c r="E19" s="13"/>
      <c r="F19" s="13"/>
      <c r="G19" s="13"/>
    </row>
    <row r="20" spans="5:12" x14ac:dyDescent="0.25">
      <c r="E20" s="13"/>
      <c r="F20" s="13"/>
      <c r="G20" s="13"/>
      <c r="L20" s="6" t="s">
        <v>69</v>
      </c>
    </row>
    <row r="21" spans="5:12" x14ac:dyDescent="0.25">
      <c r="E21" s="13"/>
      <c r="F21" s="13"/>
      <c r="G21" s="13"/>
    </row>
    <row r="22" spans="5:12" x14ac:dyDescent="0.25">
      <c r="E22" s="13"/>
      <c r="F22" s="13"/>
      <c r="G22" s="13"/>
    </row>
    <row r="23" spans="5:12" x14ac:dyDescent="0.25">
      <c r="E23" s="13"/>
      <c r="F23" s="13"/>
      <c r="G23" s="13"/>
    </row>
    <row r="24" spans="5:12" x14ac:dyDescent="0.25">
      <c r="E24" s="13"/>
      <c r="F24" s="13"/>
      <c r="G24" s="13"/>
    </row>
    <row r="25" spans="5:12" x14ac:dyDescent="0.25">
      <c r="E25" s="13"/>
      <c r="F25" s="13"/>
      <c r="G25" s="13"/>
    </row>
    <row r="26" spans="5:12" x14ac:dyDescent="0.25">
      <c r="E26" s="13"/>
      <c r="F26" s="13"/>
      <c r="G26" s="13"/>
    </row>
    <row r="27" spans="5:12" x14ac:dyDescent="0.25">
      <c r="E27" s="13"/>
      <c r="F27" s="13"/>
      <c r="G27" s="13"/>
    </row>
    <row r="28" spans="5:12" x14ac:dyDescent="0.25">
      <c r="E28" s="13"/>
      <c r="F28" s="13"/>
      <c r="G28" s="13"/>
    </row>
    <row r="29" spans="5:12" x14ac:dyDescent="0.25">
      <c r="E29" s="13"/>
      <c r="F29" s="13"/>
      <c r="G29" s="13"/>
    </row>
    <row r="30" spans="5:12" x14ac:dyDescent="0.25">
      <c r="E30" s="13"/>
      <c r="F30" s="13"/>
      <c r="G30" s="13"/>
    </row>
    <row r="31" spans="5:12" x14ac:dyDescent="0.25">
      <c r="E31" s="13"/>
      <c r="F31" s="13"/>
      <c r="G31" s="13"/>
    </row>
    <row r="32" spans="5:12" x14ac:dyDescent="0.25">
      <c r="E32" s="13"/>
      <c r="F32" s="13"/>
      <c r="G32" s="13"/>
    </row>
    <row r="33" spans="5:7" x14ac:dyDescent="0.25">
      <c r="E33" s="13"/>
      <c r="F33" s="13"/>
      <c r="G33" s="13"/>
    </row>
    <row r="34" spans="5:7" x14ac:dyDescent="0.25">
      <c r="E34" s="13"/>
      <c r="F34" s="13"/>
      <c r="G34" s="13"/>
    </row>
    <row r="35" spans="5:7" x14ac:dyDescent="0.25">
      <c r="E35" s="13"/>
      <c r="F35" s="13"/>
      <c r="G35" s="13"/>
    </row>
    <row r="36" spans="5:7" x14ac:dyDescent="0.25">
      <c r="E36" s="13"/>
      <c r="F36" s="13"/>
      <c r="G36" s="13"/>
    </row>
    <row r="37" spans="5:7" x14ac:dyDescent="0.25">
      <c r="E37" s="13"/>
      <c r="F37" s="13"/>
      <c r="G37" s="13"/>
    </row>
    <row r="38" spans="5:7" x14ac:dyDescent="0.25">
      <c r="E38" s="13"/>
      <c r="F38" s="13"/>
      <c r="G38" s="13"/>
    </row>
    <row r="39" spans="5:7" x14ac:dyDescent="0.25">
      <c r="E39" s="13"/>
      <c r="F39" s="13"/>
      <c r="G39" s="13"/>
    </row>
    <row r="40" spans="5:7" x14ac:dyDescent="0.25">
      <c r="E40" s="13"/>
      <c r="F40" s="13"/>
      <c r="G40" s="13"/>
    </row>
    <row r="41" spans="5:7" x14ac:dyDescent="0.25">
      <c r="E41" s="13"/>
      <c r="F41" s="13"/>
      <c r="G41" s="13"/>
    </row>
    <row r="42" spans="5:7" x14ac:dyDescent="0.25">
      <c r="E42" s="13"/>
      <c r="F42" s="13"/>
      <c r="G42" s="13"/>
    </row>
    <row r="43" spans="5:7" x14ac:dyDescent="0.25">
      <c r="E43" s="13"/>
      <c r="F43" s="13"/>
      <c r="G43" s="13"/>
    </row>
    <row r="44" spans="5:7" x14ac:dyDescent="0.25">
      <c r="E44" s="13"/>
      <c r="F44" s="13"/>
      <c r="G44" s="13"/>
    </row>
  </sheetData>
  <pageMargins left="0.7" right="0.7" top="0.75" bottom="0.75" header="0.3" footer="0.3"/>
  <pageSetup paperSize="260" orientation="portrait" horizontalDpi="203" verticalDpi="20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69"/>
  <sheetViews>
    <sheetView workbookViewId="0">
      <selection activeCell="P7" sqref="P7"/>
    </sheetView>
  </sheetViews>
  <sheetFormatPr defaultColWidth="8.85546875" defaultRowHeight="14.3" x14ac:dyDescent="0.25"/>
  <cols>
    <col min="1" max="2" width="9.140625" style="6" bestFit="1" customWidth="1"/>
    <col min="3" max="3" width="7.42578125" style="6" bestFit="1" customWidth="1"/>
    <col min="4" max="6" width="6.85546875" style="6" bestFit="1" customWidth="1"/>
    <col min="7" max="10" width="10.140625" style="6" bestFit="1" customWidth="1"/>
    <col min="11" max="12" width="8.5703125" style="6" bestFit="1" customWidth="1"/>
    <col min="13" max="14" width="10.140625" style="6" bestFit="1" customWidth="1"/>
    <col min="15" max="15" width="8.85546875" style="6" customWidth="1"/>
    <col min="16" max="16384" width="8.85546875" style="6"/>
  </cols>
  <sheetData>
    <row r="1" spans="1:14" ht="62.05" customHeight="1" thickTop="1" thickBot="1" x14ac:dyDescent="0.3">
      <c r="A1" s="182" t="s">
        <v>55</v>
      </c>
      <c r="B1" s="183"/>
      <c r="C1" s="183"/>
      <c r="D1" s="183"/>
      <c r="E1" s="183"/>
      <c r="F1" s="181"/>
      <c r="G1" s="180" t="s">
        <v>56</v>
      </c>
      <c r="H1" s="181"/>
      <c r="I1" s="186" t="s">
        <v>57</v>
      </c>
      <c r="J1" s="181"/>
      <c r="K1" s="184" t="s">
        <v>58</v>
      </c>
      <c r="L1" s="181"/>
      <c r="M1" s="185" t="s">
        <v>59</v>
      </c>
      <c r="N1" s="181"/>
    </row>
    <row r="2" spans="1:14" ht="44.2" customHeight="1" thickTop="1" thickBot="1" x14ac:dyDescent="0.3">
      <c r="A2" s="24" t="s">
        <v>60</v>
      </c>
      <c r="B2" s="24" t="s">
        <v>61</v>
      </c>
      <c r="C2" s="25" t="s">
        <v>62</v>
      </c>
      <c r="D2" s="25" t="s">
        <v>63</v>
      </c>
      <c r="E2" s="25" t="s">
        <v>64</v>
      </c>
      <c r="F2" s="25" t="s">
        <v>65</v>
      </c>
      <c r="G2" s="44" t="s">
        <v>60</v>
      </c>
      <c r="H2" s="45" t="s">
        <v>61</v>
      </c>
      <c r="I2" s="29" t="s">
        <v>60</v>
      </c>
      <c r="J2" s="29" t="s">
        <v>61</v>
      </c>
      <c r="K2" s="40" t="s">
        <v>60</v>
      </c>
      <c r="L2" s="40" t="s">
        <v>61</v>
      </c>
      <c r="M2" s="33" t="s">
        <v>60</v>
      </c>
      <c r="N2" s="33" t="s">
        <v>61</v>
      </c>
    </row>
    <row r="3" spans="1:14" ht="15" customHeight="1" thickTop="1" x14ac:dyDescent="0.25">
      <c r="A3" s="52">
        <v>401000</v>
      </c>
      <c r="B3" s="53">
        <v>500000</v>
      </c>
      <c r="C3" s="21">
        <v>2.5999999999999999E-2</v>
      </c>
      <c r="D3" s="21">
        <v>0.3</v>
      </c>
      <c r="E3" s="21">
        <v>0.1</v>
      </c>
      <c r="F3" s="26">
        <v>0.6</v>
      </c>
      <c r="G3" s="46">
        <v>10426</v>
      </c>
      <c r="H3" s="47">
        <v>13000</v>
      </c>
      <c r="I3" s="30">
        <v>3127.8</v>
      </c>
      <c r="J3" s="30">
        <v>3900</v>
      </c>
      <c r="K3" s="41">
        <v>1042.5999999999999</v>
      </c>
      <c r="L3" s="41">
        <v>1300</v>
      </c>
      <c r="M3" s="34">
        <v>6255.5999999999995</v>
      </c>
      <c r="N3" s="35">
        <v>7800</v>
      </c>
    </row>
    <row r="4" spans="1:14" x14ac:dyDescent="0.25">
      <c r="A4" s="54">
        <v>501000</v>
      </c>
      <c r="B4" s="55">
        <v>600000</v>
      </c>
      <c r="C4" s="22">
        <v>2.5999999999999999E-2</v>
      </c>
      <c r="D4" s="22">
        <v>0.3</v>
      </c>
      <c r="E4" s="22">
        <v>0.1</v>
      </c>
      <c r="F4" s="27">
        <v>0.6</v>
      </c>
      <c r="G4" s="48">
        <v>13026</v>
      </c>
      <c r="H4" s="49">
        <v>15600</v>
      </c>
      <c r="I4" s="31">
        <v>3907.8</v>
      </c>
      <c r="J4" s="31">
        <v>4680</v>
      </c>
      <c r="K4" s="42">
        <v>1302.5999999999999</v>
      </c>
      <c r="L4" s="42">
        <v>1560</v>
      </c>
      <c r="M4" s="36">
        <v>7815.5999999999995</v>
      </c>
      <c r="N4" s="37">
        <v>9360</v>
      </c>
    </row>
    <row r="5" spans="1:14" x14ac:dyDescent="0.25">
      <c r="A5" s="54">
        <v>601000</v>
      </c>
      <c r="B5" s="55">
        <v>700000</v>
      </c>
      <c r="C5" s="22">
        <v>2.5999999999999999E-2</v>
      </c>
      <c r="D5" s="22">
        <v>0.3</v>
      </c>
      <c r="E5" s="22">
        <v>0.1</v>
      </c>
      <c r="F5" s="27">
        <v>0.6</v>
      </c>
      <c r="G5" s="48">
        <v>15626</v>
      </c>
      <c r="H5" s="49">
        <v>18200</v>
      </c>
      <c r="I5" s="31">
        <v>4687.8</v>
      </c>
      <c r="J5" s="31">
        <v>5460</v>
      </c>
      <c r="K5" s="42">
        <v>1562.6</v>
      </c>
      <c r="L5" s="42">
        <v>1820</v>
      </c>
      <c r="M5" s="36">
        <v>9375.6</v>
      </c>
      <c r="N5" s="37">
        <v>10920</v>
      </c>
    </row>
    <row r="6" spans="1:14" x14ac:dyDescent="0.25">
      <c r="A6" s="54">
        <v>701000</v>
      </c>
      <c r="B6" s="55">
        <v>800000</v>
      </c>
      <c r="C6" s="22">
        <v>2.5999999999999999E-2</v>
      </c>
      <c r="D6" s="22">
        <v>0.3</v>
      </c>
      <c r="E6" s="22">
        <v>0.1</v>
      </c>
      <c r="F6" s="27">
        <v>0.6</v>
      </c>
      <c r="G6" s="48">
        <v>18226</v>
      </c>
      <c r="H6" s="49">
        <v>20800</v>
      </c>
      <c r="I6" s="31">
        <v>5467.8</v>
      </c>
      <c r="J6" s="31">
        <v>6240</v>
      </c>
      <c r="K6" s="42">
        <v>1822.6</v>
      </c>
      <c r="L6" s="42">
        <v>2080</v>
      </c>
      <c r="M6" s="36">
        <v>10935.6</v>
      </c>
      <c r="N6" s="37">
        <v>12480</v>
      </c>
    </row>
    <row r="7" spans="1:14" x14ac:dyDescent="0.25">
      <c r="A7" s="54">
        <v>801000</v>
      </c>
      <c r="B7" s="55">
        <v>900000</v>
      </c>
      <c r="C7" s="22">
        <v>2.5999999999999999E-2</v>
      </c>
      <c r="D7" s="22">
        <v>0.3</v>
      </c>
      <c r="E7" s="22">
        <v>0.1</v>
      </c>
      <c r="F7" s="27">
        <v>0.6</v>
      </c>
      <c r="G7" s="48">
        <v>20826</v>
      </c>
      <c r="H7" s="49">
        <v>23400</v>
      </c>
      <c r="I7" s="31">
        <v>6247.8</v>
      </c>
      <c r="J7" s="31">
        <v>7020</v>
      </c>
      <c r="K7" s="42">
        <v>2082.6</v>
      </c>
      <c r="L7" s="42">
        <v>2340</v>
      </c>
      <c r="M7" s="36">
        <v>12495.6</v>
      </c>
      <c r="N7" s="37">
        <v>14040</v>
      </c>
    </row>
    <row r="8" spans="1:14" x14ac:dyDescent="0.25">
      <c r="A8" s="54">
        <v>901000</v>
      </c>
      <c r="B8" s="55">
        <v>1000000</v>
      </c>
      <c r="C8" s="22">
        <v>2.5999999999999999E-2</v>
      </c>
      <c r="D8" s="22">
        <v>0.3</v>
      </c>
      <c r="E8" s="22">
        <v>0.1</v>
      </c>
      <c r="F8" s="27">
        <v>0.6</v>
      </c>
      <c r="G8" s="48">
        <v>23426</v>
      </c>
      <c r="H8" s="49">
        <v>26000</v>
      </c>
      <c r="I8" s="31">
        <v>7027.8</v>
      </c>
      <c r="J8" s="31">
        <v>7800</v>
      </c>
      <c r="K8" s="42">
        <v>2342.6</v>
      </c>
      <c r="L8" s="42">
        <v>2600</v>
      </c>
      <c r="M8" s="36">
        <v>14055.6</v>
      </c>
      <c r="N8" s="37">
        <v>15600</v>
      </c>
    </row>
    <row r="9" spans="1:14" x14ac:dyDescent="0.25">
      <c r="A9" s="54">
        <v>1001000</v>
      </c>
      <c r="B9" s="55">
        <v>1100000</v>
      </c>
      <c r="C9" s="22">
        <v>2.5999999999999999E-2</v>
      </c>
      <c r="D9" s="22">
        <v>0.3</v>
      </c>
      <c r="E9" s="22">
        <v>0.1</v>
      </c>
      <c r="F9" s="27">
        <v>0.6</v>
      </c>
      <c r="G9" s="48">
        <v>26026</v>
      </c>
      <c r="H9" s="49">
        <v>28600</v>
      </c>
      <c r="I9" s="31">
        <v>7807.7999999999993</v>
      </c>
      <c r="J9" s="31">
        <v>8580</v>
      </c>
      <c r="K9" s="42">
        <v>2602.6</v>
      </c>
      <c r="L9" s="42">
        <v>2860</v>
      </c>
      <c r="M9" s="36">
        <v>15615.6</v>
      </c>
      <c r="N9" s="37">
        <v>17160</v>
      </c>
    </row>
    <row r="10" spans="1:14" x14ac:dyDescent="0.25">
      <c r="A10" s="54">
        <v>1101000</v>
      </c>
      <c r="B10" s="55">
        <v>1200000</v>
      </c>
      <c r="C10" s="22">
        <v>2.5999999999999999E-2</v>
      </c>
      <c r="D10" s="22">
        <v>0.3</v>
      </c>
      <c r="E10" s="22">
        <v>0.1</v>
      </c>
      <c r="F10" s="27">
        <v>0.6</v>
      </c>
      <c r="G10" s="48">
        <v>28626</v>
      </c>
      <c r="H10" s="49">
        <v>31200</v>
      </c>
      <c r="I10" s="31">
        <v>8587.7999999999993</v>
      </c>
      <c r="J10" s="31">
        <v>9360</v>
      </c>
      <c r="K10" s="42">
        <v>2862.6</v>
      </c>
      <c r="L10" s="42">
        <v>3120</v>
      </c>
      <c r="M10" s="36">
        <v>17175.599999999999</v>
      </c>
      <c r="N10" s="37">
        <v>18720</v>
      </c>
    </row>
    <row r="11" spans="1:14" x14ac:dyDescent="0.25">
      <c r="A11" s="54">
        <v>1201000</v>
      </c>
      <c r="B11" s="55">
        <v>1300000</v>
      </c>
      <c r="C11" s="22">
        <v>2.5999999999999999E-2</v>
      </c>
      <c r="D11" s="22">
        <v>0.3</v>
      </c>
      <c r="E11" s="22">
        <v>0.1</v>
      </c>
      <c r="F11" s="27">
        <v>0.6</v>
      </c>
      <c r="G11" s="48">
        <v>31226</v>
      </c>
      <c r="H11" s="49">
        <v>33800</v>
      </c>
      <c r="I11" s="31">
        <v>9367.7999999999993</v>
      </c>
      <c r="J11" s="31">
        <v>10140</v>
      </c>
      <c r="K11" s="42">
        <v>3122.6</v>
      </c>
      <c r="L11" s="42">
        <v>3380</v>
      </c>
      <c r="M11" s="36">
        <v>18735.599999999999</v>
      </c>
      <c r="N11" s="37">
        <v>20280</v>
      </c>
    </row>
    <row r="12" spans="1:14" x14ac:dyDescent="0.25">
      <c r="A12" s="54">
        <v>1301000</v>
      </c>
      <c r="B12" s="55">
        <v>1400000</v>
      </c>
      <c r="C12" s="22">
        <v>2.5999999999999999E-2</v>
      </c>
      <c r="D12" s="22">
        <v>0.3</v>
      </c>
      <c r="E12" s="22">
        <v>0.1</v>
      </c>
      <c r="F12" s="27">
        <v>0.6</v>
      </c>
      <c r="G12" s="48">
        <v>33826</v>
      </c>
      <c r="H12" s="49">
        <v>36400</v>
      </c>
      <c r="I12" s="31">
        <v>10147.799999999999</v>
      </c>
      <c r="J12" s="31">
        <v>10920</v>
      </c>
      <c r="K12" s="42">
        <v>3382.6</v>
      </c>
      <c r="L12" s="42">
        <v>3640</v>
      </c>
      <c r="M12" s="36">
        <v>20295.599999999999</v>
      </c>
      <c r="N12" s="37">
        <v>21840</v>
      </c>
    </row>
    <row r="13" spans="1:14" x14ac:dyDescent="0.25">
      <c r="A13" s="54">
        <v>1401000</v>
      </c>
      <c r="B13" s="55">
        <v>1500000</v>
      </c>
      <c r="C13" s="22">
        <v>2.5999999999999999E-2</v>
      </c>
      <c r="D13" s="22">
        <v>0.3</v>
      </c>
      <c r="E13" s="22">
        <v>0.1</v>
      </c>
      <c r="F13" s="27">
        <v>0.6</v>
      </c>
      <c r="G13" s="48">
        <v>36426</v>
      </c>
      <c r="H13" s="49">
        <v>39000</v>
      </c>
      <c r="I13" s="31">
        <v>10927.8</v>
      </c>
      <c r="J13" s="31">
        <v>11700</v>
      </c>
      <c r="K13" s="42">
        <v>3642.6</v>
      </c>
      <c r="L13" s="42">
        <v>3900</v>
      </c>
      <c r="M13" s="36">
        <v>21855.599999999999</v>
      </c>
      <c r="N13" s="37">
        <v>23400</v>
      </c>
    </row>
    <row r="14" spans="1:14" x14ac:dyDescent="0.25">
      <c r="A14" s="54">
        <v>1501000</v>
      </c>
      <c r="B14" s="55">
        <v>1600000</v>
      </c>
      <c r="C14" s="22">
        <v>2.5999999999999999E-2</v>
      </c>
      <c r="D14" s="22">
        <v>0.3</v>
      </c>
      <c r="E14" s="22">
        <v>0.1</v>
      </c>
      <c r="F14" s="27">
        <v>0.6</v>
      </c>
      <c r="G14" s="48">
        <v>39026</v>
      </c>
      <c r="H14" s="49">
        <v>41600</v>
      </c>
      <c r="I14" s="31">
        <v>11707.8</v>
      </c>
      <c r="J14" s="31">
        <v>12480</v>
      </c>
      <c r="K14" s="42">
        <v>3902.6</v>
      </c>
      <c r="L14" s="42">
        <v>4160</v>
      </c>
      <c r="M14" s="36">
        <v>23415.599999999999</v>
      </c>
      <c r="N14" s="37">
        <v>24960</v>
      </c>
    </row>
    <row r="15" spans="1:14" x14ac:dyDescent="0.25">
      <c r="A15" s="54">
        <v>1601000</v>
      </c>
      <c r="B15" s="55">
        <v>1700000</v>
      </c>
      <c r="C15" s="22">
        <v>2.5999999999999999E-2</v>
      </c>
      <c r="D15" s="22">
        <v>0.3</v>
      </c>
      <c r="E15" s="22">
        <v>0.1</v>
      </c>
      <c r="F15" s="27">
        <v>0.6</v>
      </c>
      <c r="G15" s="48">
        <v>41626</v>
      </c>
      <c r="H15" s="49">
        <v>44200</v>
      </c>
      <c r="I15" s="31">
        <v>12487.8</v>
      </c>
      <c r="J15" s="31">
        <v>13260</v>
      </c>
      <c r="K15" s="42">
        <v>4162.6000000000004</v>
      </c>
      <c r="L15" s="42">
        <v>4420</v>
      </c>
      <c r="M15" s="36">
        <v>24975.599999999999</v>
      </c>
      <c r="N15" s="37">
        <v>26520</v>
      </c>
    </row>
    <row r="16" spans="1:14" x14ac:dyDescent="0.25">
      <c r="A16" s="54">
        <v>1701000</v>
      </c>
      <c r="B16" s="55">
        <v>1800000</v>
      </c>
      <c r="C16" s="22">
        <v>2.5999999999999999E-2</v>
      </c>
      <c r="D16" s="22">
        <v>0.3</v>
      </c>
      <c r="E16" s="22">
        <v>0.1</v>
      </c>
      <c r="F16" s="27">
        <v>0.6</v>
      </c>
      <c r="G16" s="48">
        <v>44226</v>
      </c>
      <c r="H16" s="49">
        <v>46800</v>
      </c>
      <c r="I16" s="31">
        <v>13267.8</v>
      </c>
      <c r="J16" s="31">
        <v>14040</v>
      </c>
      <c r="K16" s="42">
        <v>4422.6000000000004</v>
      </c>
      <c r="L16" s="42">
        <v>4680</v>
      </c>
      <c r="M16" s="36">
        <v>26535.599999999999</v>
      </c>
      <c r="N16" s="37">
        <v>28080</v>
      </c>
    </row>
    <row r="17" spans="1:14" x14ac:dyDescent="0.25">
      <c r="A17" s="54">
        <v>1801000</v>
      </c>
      <c r="B17" s="55">
        <v>1900000</v>
      </c>
      <c r="C17" s="22">
        <v>2.5999999999999999E-2</v>
      </c>
      <c r="D17" s="22">
        <v>0.3</v>
      </c>
      <c r="E17" s="22">
        <v>0.1</v>
      </c>
      <c r="F17" s="27">
        <v>0.6</v>
      </c>
      <c r="G17" s="48">
        <v>46826</v>
      </c>
      <c r="H17" s="49">
        <v>49400</v>
      </c>
      <c r="I17" s="31">
        <v>14047.8</v>
      </c>
      <c r="J17" s="31">
        <v>14820</v>
      </c>
      <c r="K17" s="42">
        <v>4682.6000000000004</v>
      </c>
      <c r="L17" s="42">
        <v>4940</v>
      </c>
      <c r="M17" s="36">
        <v>28095.599999999999</v>
      </c>
      <c r="N17" s="37">
        <v>29640</v>
      </c>
    </row>
    <row r="18" spans="1:14" x14ac:dyDescent="0.25">
      <c r="A18" s="54">
        <v>1901000</v>
      </c>
      <c r="B18" s="55">
        <v>2000000</v>
      </c>
      <c r="C18" s="22">
        <v>2.5999999999999999E-2</v>
      </c>
      <c r="D18" s="22">
        <v>0.3</v>
      </c>
      <c r="E18" s="22">
        <v>0.1</v>
      </c>
      <c r="F18" s="27">
        <v>0.6</v>
      </c>
      <c r="G18" s="48">
        <v>49426</v>
      </c>
      <c r="H18" s="49">
        <v>52000</v>
      </c>
      <c r="I18" s="31">
        <v>14827.8</v>
      </c>
      <c r="J18" s="31">
        <v>15600</v>
      </c>
      <c r="K18" s="42">
        <v>4942.6000000000004</v>
      </c>
      <c r="L18" s="42">
        <v>5200</v>
      </c>
      <c r="M18" s="36">
        <v>29655.599999999999</v>
      </c>
      <c r="N18" s="37">
        <v>31200</v>
      </c>
    </row>
    <row r="19" spans="1:14" x14ac:dyDescent="0.25">
      <c r="A19" s="54">
        <v>2001000</v>
      </c>
      <c r="B19" s="55">
        <v>2100000</v>
      </c>
      <c r="C19" s="22">
        <v>2.5499999999999998E-2</v>
      </c>
      <c r="D19" s="22">
        <v>0.3</v>
      </c>
      <c r="E19" s="22">
        <v>0.1</v>
      </c>
      <c r="F19" s="27">
        <v>0.6</v>
      </c>
      <c r="G19" s="48">
        <v>51025.5</v>
      </c>
      <c r="H19" s="49">
        <v>53550</v>
      </c>
      <c r="I19" s="31">
        <v>15307.65</v>
      </c>
      <c r="J19" s="31">
        <v>16065</v>
      </c>
      <c r="K19" s="42">
        <v>5102.55</v>
      </c>
      <c r="L19" s="42">
        <v>5355</v>
      </c>
      <c r="M19" s="36">
        <v>30615.3</v>
      </c>
      <c r="N19" s="37">
        <v>32130</v>
      </c>
    </row>
    <row r="20" spans="1:14" x14ac:dyDescent="0.25">
      <c r="A20" s="54">
        <v>2101000</v>
      </c>
      <c r="B20" s="55">
        <v>2200000</v>
      </c>
      <c r="C20" s="22">
        <v>2.5499999999999998E-2</v>
      </c>
      <c r="D20" s="22">
        <v>0.3</v>
      </c>
      <c r="E20" s="22">
        <v>0.1</v>
      </c>
      <c r="F20" s="27">
        <v>0.6</v>
      </c>
      <c r="G20" s="48">
        <v>53575.5</v>
      </c>
      <c r="H20" s="49">
        <v>56100</v>
      </c>
      <c r="I20" s="31">
        <v>16072.65</v>
      </c>
      <c r="J20" s="31">
        <v>16830</v>
      </c>
      <c r="K20" s="42">
        <v>5357.55</v>
      </c>
      <c r="L20" s="42">
        <v>5610</v>
      </c>
      <c r="M20" s="36">
        <v>32145.3</v>
      </c>
      <c r="N20" s="37">
        <v>33660</v>
      </c>
    </row>
    <row r="21" spans="1:14" x14ac:dyDescent="0.25">
      <c r="A21" s="54">
        <v>2201000</v>
      </c>
      <c r="B21" s="55">
        <v>2300000</v>
      </c>
      <c r="C21" s="22">
        <v>2.5499999999999998E-2</v>
      </c>
      <c r="D21" s="22">
        <v>0.3</v>
      </c>
      <c r="E21" s="22">
        <v>0.1</v>
      </c>
      <c r="F21" s="27">
        <v>0.6</v>
      </c>
      <c r="G21" s="48">
        <v>56125.5</v>
      </c>
      <c r="H21" s="49">
        <v>58649.999999999993</v>
      </c>
      <c r="I21" s="31">
        <v>16837.650000000001</v>
      </c>
      <c r="J21" s="31">
        <v>17595</v>
      </c>
      <c r="K21" s="42">
        <v>5612.55</v>
      </c>
      <c r="L21" s="42">
        <v>5865</v>
      </c>
      <c r="M21" s="36">
        <v>33675.300000000003</v>
      </c>
      <c r="N21" s="37">
        <v>35189.999999999993</v>
      </c>
    </row>
    <row r="22" spans="1:14" x14ac:dyDescent="0.25">
      <c r="A22" s="54">
        <v>2301000</v>
      </c>
      <c r="B22" s="55">
        <v>2400000</v>
      </c>
      <c r="C22" s="22">
        <v>2.5499999999999998E-2</v>
      </c>
      <c r="D22" s="22">
        <v>0.3</v>
      </c>
      <c r="E22" s="22">
        <v>0.1</v>
      </c>
      <c r="F22" s="27">
        <v>0.6</v>
      </c>
      <c r="G22" s="48">
        <v>58675.499999999993</v>
      </c>
      <c r="H22" s="49">
        <v>61199.999999999993</v>
      </c>
      <c r="I22" s="31">
        <v>17602.650000000001</v>
      </c>
      <c r="J22" s="31">
        <v>18360</v>
      </c>
      <c r="K22" s="42">
        <v>5867.5499999999993</v>
      </c>
      <c r="L22" s="42">
        <v>6120</v>
      </c>
      <c r="M22" s="36">
        <v>35205.300000000003</v>
      </c>
      <c r="N22" s="37">
        <v>36719.999999999993</v>
      </c>
    </row>
    <row r="23" spans="1:14" x14ac:dyDescent="0.25">
      <c r="A23" s="54">
        <v>2401000</v>
      </c>
      <c r="B23" s="55">
        <v>2500000</v>
      </c>
      <c r="C23" s="22">
        <v>2.5499999999999998E-2</v>
      </c>
      <c r="D23" s="22">
        <v>0.3</v>
      </c>
      <c r="E23" s="22">
        <v>0.1</v>
      </c>
      <c r="F23" s="27">
        <v>0.6</v>
      </c>
      <c r="G23" s="48">
        <v>61225.499999999993</v>
      </c>
      <c r="H23" s="49">
        <v>63749.999999999993</v>
      </c>
      <c r="I23" s="31">
        <v>18367.650000000001</v>
      </c>
      <c r="J23" s="31">
        <v>19125</v>
      </c>
      <c r="K23" s="42">
        <v>6122.5499999999993</v>
      </c>
      <c r="L23" s="42">
        <v>6375</v>
      </c>
      <c r="M23" s="36">
        <v>36735.300000000003</v>
      </c>
      <c r="N23" s="37">
        <v>38249.999999999993</v>
      </c>
    </row>
    <row r="24" spans="1:14" x14ac:dyDescent="0.25">
      <c r="A24" s="54">
        <v>2501000</v>
      </c>
      <c r="B24" s="55">
        <v>2600000</v>
      </c>
      <c r="C24" s="22">
        <v>2.5499999999999998E-2</v>
      </c>
      <c r="D24" s="22">
        <v>0.3</v>
      </c>
      <c r="E24" s="22">
        <v>0.1</v>
      </c>
      <c r="F24" s="27">
        <v>0.6</v>
      </c>
      <c r="G24" s="48">
        <v>63775.499999999993</v>
      </c>
      <c r="H24" s="49">
        <v>66300</v>
      </c>
      <c r="I24" s="31">
        <v>19132.650000000001</v>
      </c>
      <c r="J24" s="31">
        <v>19890</v>
      </c>
      <c r="K24" s="42">
        <v>6377.5499999999993</v>
      </c>
      <c r="L24" s="42">
        <v>6630</v>
      </c>
      <c r="M24" s="36">
        <v>38265.300000000003</v>
      </c>
      <c r="N24" s="37">
        <v>39780</v>
      </c>
    </row>
    <row r="25" spans="1:14" x14ac:dyDescent="0.25">
      <c r="A25" s="54">
        <v>2601000</v>
      </c>
      <c r="B25" s="55">
        <v>2700000</v>
      </c>
      <c r="C25" s="22">
        <v>2.5499999999999998E-2</v>
      </c>
      <c r="D25" s="22">
        <v>0.3</v>
      </c>
      <c r="E25" s="22">
        <v>0.1</v>
      </c>
      <c r="F25" s="27">
        <v>0.6</v>
      </c>
      <c r="G25" s="48">
        <v>66325.5</v>
      </c>
      <c r="H25" s="49">
        <v>68850</v>
      </c>
      <c r="I25" s="31">
        <v>19897.650000000001</v>
      </c>
      <c r="J25" s="31">
        <v>20655</v>
      </c>
      <c r="K25" s="42">
        <v>6632.55</v>
      </c>
      <c r="L25" s="42">
        <v>6885</v>
      </c>
      <c r="M25" s="36">
        <v>39795.300000000003</v>
      </c>
      <c r="N25" s="37">
        <v>41310</v>
      </c>
    </row>
    <row r="26" spans="1:14" x14ac:dyDescent="0.25">
      <c r="A26" s="54">
        <v>2701000</v>
      </c>
      <c r="B26" s="55">
        <v>2800000</v>
      </c>
      <c r="C26" s="22">
        <v>2.5499999999999998E-2</v>
      </c>
      <c r="D26" s="22">
        <v>0.3</v>
      </c>
      <c r="E26" s="22">
        <v>0.1</v>
      </c>
      <c r="F26" s="27">
        <v>0.6</v>
      </c>
      <c r="G26" s="48">
        <v>68875.5</v>
      </c>
      <c r="H26" s="49">
        <v>71400</v>
      </c>
      <c r="I26" s="31">
        <v>20662.650000000001</v>
      </c>
      <c r="J26" s="31">
        <v>21420</v>
      </c>
      <c r="K26" s="42">
        <v>6887.55</v>
      </c>
      <c r="L26" s="42">
        <v>7140</v>
      </c>
      <c r="M26" s="36">
        <v>41325.300000000003</v>
      </c>
      <c r="N26" s="37">
        <v>42840</v>
      </c>
    </row>
    <row r="27" spans="1:14" x14ac:dyDescent="0.25">
      <c r="A27" s="54">
        <v>2801000</v>
      </c>
      <c r="B27" s="55">
        <v>2900000</v>
      </c>
      <c r="C27" s="22">
        <v>2.5499999999999998E-2</v>
      </c>
      <c r="D27" s="22">
        <v>0.3</v>
      </c>
      <c r="E27" s="22">
        <v>0.1</v>
      </c>
      <c r="F27" s="27">
        <v>0.6</v>
      </c>
      <c r="G27" s="48">
        <v>71425.5</v>
      </c>
      <c r="H27" s="49">
        <v>73950</v>
      </c>
      <c r="I27" s="31">
        <v>21427.65</v>
      </c>
      <c r="J27" s="31">
        <v>22185</v>
      </c>
      <c r="K27" s="42">
        <v>7142.55</v>
      </c>
      <c r="L27" s="42">
        <v>7395</v>
      </c>
      <c r="M27" s="36">
        <v>42855.3</v>
      </c>
      <c r="N27" s="37">
        <v>44370</v>
      </c>
    </row>
    <row r="28" spans="1:14" x14ac:dyDescent="0.25">
      <c r="A28" s="54">
        <v>2901000</v>
      </c>
      <c r="B28" s="55">
        <v>3000000</v>
      </c>
      <c r="C28" s="22">
        <v>2.5499999999999998E-2</v>
      </c>
      <c r="D28" s="22">
        <v>0.3</v>
      </c>
      <c r="E28" s="22">
        <v>0.1</v>
      </c>
      <c r="F28" s="27">
        <v>0.6</v>
      </c>
      <c r="G28" s="48">
        <v>73975.5</v>
      </c>
      <c r="H28" s="49">
        <v>76500</v>
      </c>
      <c r="I28" s="31">
        <v>22192.65</v>
      </c>
      <c r="J28" s="31">
        <v>22950</v>
      </c>
      <c r="K28" s="42">
        <v>7397.55</v>
      </c>
      <c r="L28" s="42">
        <v>7650</v>
      </c>
      <c r="M28" s="36">
        <v>44385.3</v>
      </c>
      <c r="N28" s="37">
        <v>45900</v>
      </c>
    </row>
    <row r="29" spans="1:14" x14ac:dyDescent="0.25">
      <c r="A29" s="54">
        <v>3001000</v>
      </c>
      <c r="B29" s="55">
        <v>3100000</v>
      </c>
      <c r="C29" s="22">
        <v>2.5000000000000001E-2</v>
      </c>
      <c r="D29" s="22">
        <v>0.3</v>
      </c>
      <c r="E29" s="22">
        <v>0.1</v>
      </c>
      <c r="F29" s="27">
        <v>0.6</v>
      </c>
      <c r="G29" s="48">
        <v>75025</v>
      </c>
      <c r="H29" s="49">
        <v>77500</v>
      </c>
      <c r="I29" s="31">
        <v>22507.5</v>
      </c>
      <c r="J29" s="31">
        <v>23250</v>
      </c>
      <c r="K29" s="42">
        <v>7502.5</v>
      </c>
      <c r="L29" s="42">
        <v>7750</v>
      </c>
      <c r="M29" s="36">
        <v>45015</v>
      </c>
      <c r="N29" s="37">
        <v>46500</v>
      </c>
    </row>
    <row r="30" spans="1:14" x14ac:dyDescent="0.25">
      <c r="A30" s="54">
        <v>3101000</v>
      </c>
      <c r="B30" s="55">
        <v>3200000</v>
      </c>
      <c r="C30" s="22">
        <v>2.5000000000000001E-2</v>
      </c>
      <c r="D30" s="22">
        <v>0.3</v>
      </c>
      <c r="E30" s="22">
        <v>0.1</v>
      </c>
      <c r="F30" s="27">
        <v>0.6</v>
      </c>
      <c r="G30" s="48">
        <v>77525</v>
      </c>
      <c r="H30" s="49">
        <v>80000</v>
      </c>
      <c r="I30" s="31">
        <v>23257.5</v>
      </c>
      <c r="J30" s="31">
        <v>24000</v>
      </c>
      <c r="K30" s="42">
        <v>7752.5</v>
      </c>
      <c r="L30" s="42">
        <v>8000</v>
      </c>
      <c r="M30" s="36">
        <v>46515</v>
      </c>
      <c r="N30" s="37">
        <v>48000</v>
      </c>
    </row>
    <row r="31" spans="1:14" x14ac:dyDescent="0.25">
      <c r="A31" s="54">
        <v>3201000</v>
      </c>
      <c r="B31" s="55">
        <v>3300000</v>
      </c>
      <c r="C31" s="22">
        <v>2.5000000000000001E-2</v>
      </c>
      <c r="D31" s="22">
        <v>0.3</v>
      </c>
      <c r="E31" s="22">
        <v>0.1</v>
      </c>
      <c r="F31" s="27">
        <v>0.6</v>
      </c>
      <c r="G31" s="48">
        <v>80025</v>
      </c>
      <c r="H31" s="49">
        <v>82500</v>
      </c>
      <c r="I31" s="31">
        <v>24007.5</v>
      </c>
      <c r="J31" s="31">
        <v>24750</v>
      </c>
      <c r="K31" s="42">
        <v>8002.5</v>
      </c>
      <c r="L31" s="42">
        <v>8250</v>
      </c>
      <c r="M31" s="36">
        <v>48015</v>
      </c>
      <c r="N31" s="37">
        <v>49500</v>
      </c>
    </row>
    <row r="32" spans="1:14" x14ac:dyDescent="0.25">
      <c r="A32" s="54">
        <v>3301000</v>
      </c>
      <c r="B32" s="55">
        <v>3400000</v>
      </c>
      <c r="C32" s="22">
        <v>2.5000000000000001E-2</v>
      </c>
      <c r="D32" s="22">
        <v>0.3</v>
      </c>
      <c r="E32" s="22">
        <v>0.1</v>
      </c>
      <c r="F32" s="27">
        <v>0.6</v>
      </c>
      <c r="G32" s="48">
        <v>82525</v>
      </c>
      <c r="H32" s="49">
        <v>85000</v>
      </c>
      <c r="I32" s="31">
        <v>24757.5</v>
      </c>
      <c r="J32" s="31">
        <v>25500</v>
      </c>
      <c r="K32" s="42">
        <v>8252.5</v>
      </c>
      <c r="L32" s="42">
        <v>8500</v>
      </c>
      <c r="M32" s="36">
        <v>49515</v>
      </c>
      <c r="N32" s="37">
        <v>51000</v>
      </c>
    </row>
    <row r="33" spans="1:14" x14ac:dyDescent="0.25">
      <c r="A33" s="54">
        <v>3401000</v>
      </c>
      <c r="B33" s="55">
        <v>3500000</v>
      </c>
      <c r="C33" s="22">
        <v>2.5000000000000001E-2</v>
      </c>
      <c r="D33" s="22">
        <v>0.3</v>
      </c>
      <c r="E33" s="22">
        <v>0.1</v>
      </c>
      <c r="F33" s="27">
        <v>0.6</v>
      </c>
      <c r="G33" s="48">
        <v>85025</v>
      </c>
      <c r="H33" s="49">
        <v>87500</v>
      </c>
      <c r="I33" s="31">
        <v>25507.5</v>
      </c>
      <c r="J33" s="31">
        <v>26250</v>
      </c>
      <c r="K33" s="42">
        <v>8502.5</v>
      </c>
      <c r="L33" s="42">
        <v>8750</v>
      </c>
      <c r="M33" s="36">
        <v>51015</v>
      </c>
      <c r="N33" s="37">
        <v>52500</v>
      </c>
    </row>
    <row r="34" spans="1:14" x14ac:dyDescent="0.25">
      <c r="A34" s="54">
        <v>3501000</v>
      </c>
      <c r="B34" s="55">
        <v>3600000</v>
      </c>
      <c r="C34" s="22">
        <v>2.5000000000000001E-2</v>
      </c>
      <c r="D34" s="22">
        <v>0.3</v>
      </c>
      <c r="E34" s="22">
        <v>0.1</v>
      </c>
      <c r="F34" s="27">
        <v>0.6</v>
      </c>
      <c r="G34" s="48">
        <v>87525</v>
      </c>
      <c r="H34" s="49">
        <v>90000</v>
      </c>
      <c r="I34" s="31">
        <v>26257.5</v>
      </c>
      <c r="J34" s="31">
        <v>27000</v>
      </c>
      <c r="K34" s="42">
        <v>8752.5</v>
      </c>
      <c r="L34" s="42">
        <v>9000</v>
      </c>
      <c r="M34" s="36">
        <v>52515</v>
      </c>
      <c r="N34" s="37">
        <v>54000</v>
      </c>
    </row>
    <row r="35" spans="1:14" x14ac:dyDescent="0.25">
      <c r="A35" s="54">
        <v>3601000</v>
      </c>
      <c r="B35" s="55">
        <v>3700000</v>
      </c>
      <c r="C35" s="22">
        <v>2.5000000000000001E-2</v>
      </c>
      <c r="D35" s="22">
        <v>0.3</v>
      </c>
      <c r="E35" s="22">
        <v>0.1</v>
      </c>
      <c r="F35" s="27">
        <v>0.6</v>
      </c>
      <c r="G35" s="48">
        <v>90025</v>
      </c>
      <c r="H35" s="49">
        <v>92500</v>
      </c>
      <c r="I35" s="31">
        <v>27007.5</v>
      </c>
      <c r="J35" s="31">
        <v>27750</v>
      </c>
      <c r="K35" s="42">
        <v>9002.5</v>
      </c>
      <c r="L35" s="42">
        <v>9250</v>
      </c>
      <c r="M35" s="36">
        <v>54015</v>
      </c>
      <c r="N35" s="37">
        <v>55500</v>
      </c>
    </row>
    <row r="36" spans="1:14" x14ac:dyDescent="0.25">
      <c r="A36" s="54">
        <v>3701000</v>
      </c>
      <c r="B36" s="55">
        <v>3800000</v>
      </c>
      <c r="C36" s="22">
        <v>2.5000000000000001E-2</v>
      </c>
      <c r="D36" s="22">
        <v>0.3</v>
      </c>
      <c r="E36" s="22">
        <v>0.1</v>
      </c>
      <c r="F36" s="27">
        <v>0.6</v>
      </c>
      <c r="G36" s="48">
        <v>92525</v>
      </c>
      <c r="H36" s="49">
        <v>95000</v>
      </c>
      <c r="I36" s="31">
        <v>27757.5</v>
      </c>
      <c r="J36" s="31">
        <v>28500</v>
      </c>
      <c r="K36" s="42">
        <v>9252.5</v>
      </c>
      <c r="L36" s="42">
        <v>9500</v>
      </c>
      <c r="M36" s="36">
        <v>55515</v>
      </c>
      <c r="N36" s="37">
        <v>57000</v>
      </c>
    </row>
    <row r="37" spans="1:14" x14ac:dyDescent="0.25">
      <c r="A37" s="54">
        <v>3801000</v>
      </c>
      <c r="B37" s="55">
        <v>3900000</v>
      </c>
      <c r="C37" s="22">
        <v>2.5000000000000001E-2</v>
      </c>
      <c r="D37" s="22">
        <v>0.3</v>
      </c>
      <c r="E37" s="22">
        <v>0.1</v>
      </c>
      <c r="F37" s="27">
        <v>0.6</v>
      </c>
      <c r="G37" s="48">
        <v>95025</v>
      </c>
      <c r="H37" s="49">
        <v>97500</v>
      </c>
      <c r="I37" s="31">
        <v>28507.5</v>
      </c>
      <c r="J37" s="31">
        <v>29250</v>
      </c>
      <c r="K37" s="42">
        <v>9502.5</v>
      </c>
      <c r="L37" s="42">
        <v>9750</v>
      </c>
      <c r="M37" s="36">
        <v>57015</v>
      </c>
      <c r="N37" s="37">
        <v>58500</v>
      </c>
    </row>
    <row r="38" spans="1:14" x14ac:dyDescent="0.25">
      <c r="A38" s="54">
        <v>3901000</v>
      </c>
      <c r="B38" s="55">
        <v>4000000</v>
      </c>
      <c r="C38" s="22">
        <v>2.5000000000000001E-2</v>
      </c>
      <c r="D38" s="22">
        <v>0.3</v>
      </c>
      <c r="E38" s="22">
        <v>0.1</v>
      </c>
      <c r="F38" s="27">
        <v>0.6</v>
      </c>
      <c r="G38" s="48">
        <v>97525</v>
      </c>
      <c r="H38" s="49">
        <v>100000</v>
      </c>
      <c r="I38" s="31">
        <v>29257.5</v>
      </c>
      <c r="J38" s="31">
        <v>30000</v>
      </c>
      <c r="K38" s="42">
        <v>9752.5</v>
      </c>
      <c r="L38" s="42">
        <v>10000</v>
      </c>
      <c r="M38" s="36">
        <v>58515</v>
      </c>
      <c r="N38" s="37">
        <v>60000</v>
      </c>
    </row>
    <row r="39" spans="1:14" x14ac:dyDescent="0.25">
      <c r="A39" s="54">
        <v>4001000</v>
      </c>
      <c r="B39" s="55">
        <v>4100000</v>
      </c>
      <c r="C39" s="22">
        <v>2.4500000000000001E-2</v>
      </c>
      <c r="D39" s="22">
        <v>0.3</v>
      </c>
      <c r="E39" s="22">
        <v>0.1</v>
      </c>
      <c r="F39" s="27">
        <v>0.6</v>
      </c>
      <c r="G39" s="48">
        <v>98024.5</v>
      </c>
      <c r="H39" s="49">
        <v>100450</v>
      </c>
      <c r="I39" s="31">
        <v>29407.35</v>
      </c>
      <c r="J39" s="31">
        <v>30135</v>
      </c>
      <c r="K39" s="42">
        <v>9802.4500000000007</v>
      </c>
      <c r="L39" s="42">
        <v>10045</v>
      </c>
      <c r="M39" s="36">
        <v>58814.7</v>
      </c>
      <c r="N39" s="37">
        <v>60270</v>
      </c>
    </row>
    <row r="40" spans="1:14" x14ac:dyDescent="0.25">
      <c r="A40" s="54">
        <v>4101000</v>
      </c>
      <c r="B40" s="55">
        <v>4200000</v>
      </c>
      <c r="C40" s="22">
        <v>2.4500000000000001E-2</v>
      </c>
      <c r="D40" s="22">
        <v>0.3</v>
      </c>
      <c r="E40" s="22">
        <v>0.1</v>
      </c>
      <c r="F40" s="27">
        <v>0.6</v>
      </c>
      <c r="G40" s="48">
        <v>100474.5</v>
      </c>
      <c r="H40" s="49">
        <v>102900</v>
      </c>
      <c r="I40" s="31">
        <v>30142.35</v>
      </c>
      <c r="J40" s="31">
        <v>30870</v>
      </c>
      <c r="K40" s="42">
        <v>10047.450000000001</v>
      </c>
      <c r="L40" s="42">
        <v>10290</v>
      </c>
      <c r="M40" s="36">
        <v>60284.7</v>
      </c>
      <c r="N40" s="37">
        <v>61740</v>
      </c>
    </row>
    <row r="41" spans="1:14" x14ac:dyDescent="0.25">
      <c r="A41" s="54">
        <v>4201000</v>
      </c>
      <c r="B41" s="55">
        <v>4300000</v>
      </c>
      <c r="C41" s="22">
        <v>2.4500000000000001E-2</v>
      </c>
      <c r="D41" s="22">
        <v>0.3</v>
      </c>
      <c r="E41" s="22">
        <v>0.1</v>
      </c>
      <c r="F41" s="27">
        <v>0.6</v>
      </c>
      <c r="G41" s="48">
        <v>102924.5</v>
      </c>
      <c r="H41" s="49">
        <v>105350</v>
      </c>
      <c r="I41" s="31">
        <v>30877.35</v>
      </c>
      <c r="J41" s="31">
        <v>31605</v>
      </c>
      <c r="K41" s="42">
        <v>10292.450000000001</v>
      </c>
      <c r="L41" s="42">
        <v>10535</v>
      </c>
      <c r="M41" s="36">
        <v>61754.7</v>
      </c>
      <c r="N41" s="37">
        <v>63210</v>
      </c>
    </row>
    <row r="42" spans="1:14" x14ac:dyDescent="0.25">
      <c r="A42" s="54">
        <v>4301000</v>
      </c>
      <c r="B42" s="55">
        <v>4400000</v>
      </c>
      <c r="C42" s="22">
        <v>2.4500000000000001E-2</v>
      </c>
      <c r="D42" s="22">
        <v>0.3</v>
      </c>
      <c r="E42" s="22">
        <v>0.1</v>
      </c>
      <c r="F42" s="27">
        <v>0.6</v>
      </c>
      <c r="G42" s="48">
        <v>105374.5</v>
      </c>
      <c r="H42" s="49">
        <v>107800</v>
      </c>
      <c r="I42" s="31">
        <v>31612.35</v>
      </c>
      <c r="J42" s="31">
        <v>32340</v>
      </c>
      <c r="K42" s="42">
        <v>10537.45</v>
      </c>
      <c r="L42" s="42">
        <v>10780</v>
      </c>
      <c r="M42" s="36">
        <v>63224.7</v>
      </c>
      <c r="N42" s="37">
        <v>64680</v>
      </c>
    </row>
    <row r="43" spans="1:14" x14ac:dyDescent="0.25">
      <c r="A43" s="54">
        <v>4401000</v>
      </c>
      <c r="B43" s="55">
        <v>4500000</v>
      </c>
      <c r="C43" s="22">
        <v>2.4500000000000001E-2</v>
      </c>
      <c r="D43" s="22">
        <v>0.3</v>
      </c>
      <c r="E43" s="22">
        <v>0.1</v>
      </c>
      <c r="F43" s="27">
        <v>0.6</v>
      </c>
      <c r="G43" s="48">
        <v>107824.5</v>
      </c>
      <c r="H43" s="49">
        <v>110250</v>
      </c>
      <c r="I43" s="31">
        <v>32347.35</v>
      </c>
      <c r="J43" s="31">
        <v>33075</v>
      </c>
      <c r="K43" s="42">
        <v>10782.45</v>
      </c>
      <c r="L43" s="42">
        <v>11025</v>
      </c>
      <c r="M43" s="36">
        <v>64694.7</v>
      </c>
      <c r="N43" s="37">
        <v>66150</v>
      </c>
    </row>
    <row r="44" spans="1:14" x14ac:dyDescent="0.25">
      <c r="A44" s="54">
        <v>4501000</v>
      </c>
      <c r="B44" s="55">
        <v>4600000</v>
      </c>
      <c r="C44" s="22">
        <v>2.4500000000000001E-2</v>
      </c>
      <c r="D44" s="22">
        <v>0.3</v>
      </c>
      <c r="E44" s="22">
        <v>0.1</v>
      </c>
      <c r="F44" s="27">
        <v>0.6</v>
      </c>
      <c r="G44" s="48">
        <v>110274.5</v>
      </c>
      <c r="H44" s="49">
        <v>112700</v>
      </c>
      <c r="I44" s="31">
        <v>33082.35</v>
      </c>
      <c r="J44" s="31">
        <v>33810</v>
      </c>
      <c r="K44" s="42">
        <v>11027.45</v>
      </c>
      <c r="L44" s="42">
        <v>11270</v>
      </c>
      <c r="M44" s="36">
        <v>66164.7</v>
      </c>
      <c r="N44" s="37">
        <v>67620</v>
      </c>
    </row>
    <row r="45" spans="1:14" x14ac:dyDescent="0.25">
      <c r="A45" s="54">
        <v>4601000</v>
      </c>
      <c r="B45" s="55">
        <v>4700000</v>
      </c>
      <c r="C45" s="22">
        <v>2.4500000000000001E-2</v>
      </c>
      <c r="D45" s="22">
        <v>0.3</v>
      </c>
      <c r="E45" s="22">
        <v>0.1</v>
      </c>
      <c r="F45" s="27">
        <v>0.6</v>
      </c>
      <c r="G45" s="48">
        <v>112724.5</v>
      </c>
      <c r="H45" s="49">
        <v>115150</v>
      </c>
      <c r="I45" s="31">
        <v>33817.35</v>
      </c>
      <c r="J45" s="31">
        <v>34545</v>
      </c>
      <c r="K45" s="42">
        <v>11272.45</v>
      </c>
      <c r="L45" s="42">
        <v>11515</v>
      </c>
      <c r="M45" s="36">
        <v>67634.7</v>
      </c>
      <c r="N45" s="37">
        <v>69090</v>
      </c>
    </row>
    <row r="46" spans="1:14" x14ac:dyDescent="0.25">
      <c r="A46" s="54">
        <v>4701000</v>
      </c>
      <c r="B46" s="55">
        <v>4800000</v>
      </c>
      <c r="C46" s="22">
        <v>2.4500000000000001E-2</v>
      </c>
      <c r="D46" s="22">
        <v>0.3</v>
      </c>
      <c r="E46" s="22">
        <v>0.1</v>
      </c>
      <c r="F46" s="27">
        <v>0.6</v>
      </c>
      <c r="G46" s="48">
        <v>115174.5</v>
      </c>
      <c r="H46" s="49">
        <v>117600</v>
      </c>
      <c r="I46" s="31">
        <v>34552.35</v>
      </c>
      <c r="J46" s="31">
        <v>35280</v>
      </c>
      <c r="K46" s="42">
        <v>11517.45</v>
      </c>
      <c r="L46" s="42">
        <v>11760</v>
      </c>
      <c r="M46" s="36">
        <v>69104.7</v>
      </c>
      <c r="N46" s="37">
        <v>70560</v>
      </c>
    </row>
    <row r="47" spans="1:14" x14ac:dyDescent="0.25">
      <c r="A47" s="54">
        <v>4801000</v>
      </c>
      <c r="B47" s="55">
        <v>4900000</v>
      </c>
      <c r="C47" s="22">
        <v>2.4500000000000001E-2</v>
      </c>
      <c r="D47" s="22">
        <v>0.3</v>
      </c>
      <c r="E47" s="22">
        <v>0.1</v>
      </c>
      <c r="F47" s="27">
        <v>0.6</v>
      </c>
      <c r="G47" s="48">
        <v>117624.5</v>
      </c>
      <c r="H47" s="49">
        <v>120050</v>
      </c>
      <c r="I47" s="31">
        <v>35287.35</v>
      </c>
      <c r="J47" s="31">
        <v>36015</v>
      </c>
      <c r="K47" s="42">
        <v>11762.45</v>
      </c>
      <c r="L47" s="42">
        <v>12005</v>
      </c>
      <c r="M47" s="36">
        <v>70574.7</v>
      </c>
      <c r="N47" s="37">
        <v>72030</v>
      </c>
    </row>
    <row r="48" spans="1:14" x14ac:dyDescent="0.25">
      <c r="A48" s="54">
        <v>4901000</v>
      </c>
      <c r="B48" s="55">
        <v>5000000</v>
      </c>
      <c r="C48" s="22">
        <v>2.4E-2</v>
      </c>
      <c r="D48" s="22">
        <v>0.3</v>
      </c>
      <c r="E48" s="22">
        <v>0.1</v>
      </c>
      <c r="F48" s="27">
        <v>0.6</v>
      </c>
      <c r="G48" s="48">
        <v>117624</v>
      </c>
      <c r="H48" s="49">
        <v>120000</v>
      </c>
      <c r="I48" s="31">
        <v>35287.199999999997</v>
      </c>
      <c r="J48" s="31">
        <v>36000</v>
      </c>
      <c r="K48" s="42">
        <v>11762.4</v>
      </c>
      <c r="L48" s="42">
        <v>12000</v>
      </c>
      <c r="M48" s="36">
        <v>70574.399999999994</v>
      </c>
      <c r="N48" s="37">
        <v>72000</v>
      </c>
    </row>
    <row r="49" spans="1:14" x14ac:dyDescent="0.25">
      <c r="A49" s="54">
        <v>5001000</v>
      </c>
      <c r="B49" s="55">
        <v>5100000</v>
      </c>
      <c r="C49" s="22">
        <v>2.4E-2</v>
      </c>
      <c r="D49" s="22">
        <v>0.3</v>
      </c>
      <c r="E49" s="22">
        <v>0.1</v>
      </c>
      <c r="F49" s="27">
        <v>0.6</v>
      </c>
      <c r="G49" s="48">
        <v>120024</v>
      </c>
      <c r="H49" s="49">
        <v>122400</v>
      </c>
      <c r="I49" s="31">
        <v>36007.199999999997</v>
      </c>
      <c r="J49" s="31">
        <v>36720</v>
      </c>
      <c r="K49" s="42">
        <v>12002.4</v>
      </c>
      <c r="L49" s="42">
        <v>12240</v>
      </c>
      <c r="M49" s="36">
        <v>72014.399999999994</v>
      </c>
      <c r="N49" s="37">
        <v>73440</v>
      </c>
    </row>
    <row r="50" spans="1:14" x14ac:dyDescent="0.25">
      <c r="A50" s="54">
        <v>5101000</v>
      </c>
      <c r="B50" s="55">
        <v>5200000</v>
      </c>
      <c r="C50" s="22">
        <v>2.4E-2</v>
      </c>
      <c r="D50" s="22">
        <v>0.3</v>
      </c>
      <c r="E50" s="22">
        <v>0.1</v>
      </c>
      <c r="F50" s="27">
        <v>0.6</v>
      </c>
      <c r="G50" s="48">
        <v>122424</v>
      </c>
      <c r="H50" s="49">
        <v>124800</v>
      </c>
      <c r="I50" s="31">
        <v>36727.199999999997</v>
      </c>
      <c r="J50" s="31">
        <v>37440</v>
      </c>
      <c r="K50" s="42">
        <v>12242.4</v>
      </c>
      <c r="L50" s="42">
        <v>12480</v>
      </c>
      <c r="M50" s="36">
        <v>73454.399999999994</v>
      </c>
      <c r="N50" s="37">
        <v>74880</v>
      </c>
    </row>
    <row r="51" spans="1:14" x14ac:dyDescent="0.25">
      <c r="A51" s="54">
        <v>5201000</v>
      </c>
      <c r="B51" s="55">
        <v>5300000</v>
      </c>
      <c r="C51" s="22">
        <v>2.4E-2</v>
      </c>
      <c r="D51" s="22">
        <v>0.3</v>
      </c>
      <c r="E51" s="22">
        <v>0.1</v>
      </c>
      <c r="F51" s="27">
        <v>0.6</v>
      </c>
      <c r="G51" s="48">
        <v>124824</v>
      </c>
      <c r="H51" s="49">
        <v>127200</v>
      </c>
      <c r="I51" s="31">
        <v>37447.199999999997</v>
      </c>
      <c r="J51" s="31">
        <v>38160</v>
      </c>
      <c r="K51" s="42">
        <v>12482.4</v>
      </c>
      <c r="L51" s="42">
        <v>12720</v>
      </c>
      <c r="M51" s="36">
        <v>74894.399999999994</v>
      </c>
      <c r="N51" s="37">
        <v>76320</v>
      </c>
    </row>
    <row r="52" spans="1:14" x14ac:dyDescent="0.25">
      <c r="A52" s="54">
        <v>5301000</v>
      </c>
      <c r="B52" s="55">
        <v>5400000</v>
      </c>
      <c r="C52" s="22">
        <v>2.4E-2</v>
      </c>
      <c r="D52" s="22">
        <v>0.3</v>
      </c>
      <c r="E52" s="22">
        <v>0.1</v>
      </c>
      <c r="F52" s="27">
        <v>0.6</v>
      </c>
      <c r="G52" s="48">
        <v>127224</v>
      </c>
      <c r="H52" s="49">
        <v>129600</v>
      </c>
      <c r="I52" s="31">
        <v>38167.199999999997</v>
      </c>
      <c r="J52" s="31">
        <v>38880</v>
      </c>
      <c r="K52" s="42">
        <v>12722.4</v>
      </c>
      <c r="L52" s="42">
        <v>12960</v>
      </c>
      <c r="M52" s="36">
        <v>76334.399999999994</v>
      </c>
      <c r="N52" s="37">
        <v>77760</v>
      </c>
    </row>
    <row r="53" spans="1:14" x14ac:dyDescent="0.25">
      <c r="A53" s="54">
        <v>5401000</v>
      </c>
      <c r="B53" s="55">
        <v>5500000</v>
      </c>
      <c r="C53" s="22">
        <v>2.4E-2</v>
      </c>
      <c r="D53" s="22">
        <v>0.3</v>
      </c>
      <c r="E53" s="22">
        <v>0.1</v>
      </c>
      <c r="F53" s="27">
        <v>0.6</v>
      </c>
      <c r="G53" s="48">
        <v>129624</v>
      </c>
      <c r="H53" s="49">
        <v>132000</v>
      </c>
      <c r="I53" s="31">
        <v>38887.199999999997</v>
      </c>
      <c r="J53" s="31">
        <v>39600</v>
      </c>
      <c r="K53" s="42">
        <v>12962.4</v>
      </c>
      <c r="L53" s="42">
        <v>13200</v>
      </c>
      <c r="M53" s="36">
        <v>77774.399999999994</v>
      </c>
      <c r="N53" s="37">
        <v>79200</v>
      </c>
    </row>
    <row r="54" spans="1:14" x14ac:dyDescent="0.25">
      <c r="A54" s="54">
        <v>5501000</v>
      </c>
      <c r="B54" s="55">
        <v>5600000</v>
      </c>
      <c r="C54" s="22">
        <v>2.4E-2</v>
      </c>
      <c r="D54" s="22">
        <v>0.3</v>
      </c>
      <c r="E54" s="22">
        <v>0.1</v>
      </c>
      <c r="F54" s="27">
        <v>0.6</v>
      </c>
      <c r="G54" s="48">
        <v>132024</v>
      </c>
      <c r="H54" s="49">
        <v>134400</v>
      </c>
      <c r="I54" s="31">
        <v>39607.199999999997</v>
      </c>
      <c r="J54" s="31">
        <v>40320</v>
      </c>
      <c r="K54" s="42">
        <v>13202.4</v>
      </c>
      <c r="L54" s="42">
        <v>13440</v>
      </c>
      <c r="M54" s="36">
        <v>79214.399999999994</v>
      </c>
      <c r="N54" s="37">
        <v>80640</v>
      </c>
    </row>
    <row r="55" spans="1:14" x14ac:dyDescent="0.25">
      <c r="A55" s="54">
        <v>5601000</v>
      </c>
      <c r="B55" s="55">
        <v>5750000</v>
      </c>
      <c r="C55" s="22">
        <v>2.4E-2</v>
      </c>
      <c r="D55" s="22">
        <v>0.3</v>
      </c>
      <c r="E55" s="22">
        <v>0.1</v>
      </c>
      <c r="F55" s="27">
        <v>0.6</v>
      </c>
      <c r="G55" s="48">
        <v>134424</v>
      </c>
      <c r="H55" s="49">
        <v>138000</v>
      </c>
      <c r="I55" s="31">
        <v>40327.199999999997</v>
      </c>
      <c r="J55" s="31">
        <v>41400</v>
      </c>
      <c r="K55" s="42">
        <v>13442.4</v>
      </c>
      <c r="L55" s="42">
        <v>13800</v>
      </c>
      <c r="M55" s="36">
        <v>80654.399999999994</v>
      </c>
      <c r="N55" s="37">
        <v>82800</v>
      </c>
    </row>
    <row r="56" spans="1:14" x14ac:dyDescent="0.25">
      <c r="A56" s="54">
        <v>5751000</v>
      </c>
      <c r="B56" s="55">
        <v>6000000</v>
      </c>
      <c r="C56" s="22">
        <v>2.4E-2</v>
      </c>
      <c r="D56" s="22">
        <v>0.3</v>
      </c>
      <c r="E56" s="22">
        <v>0.1</v>
      </c>
      <c r="F56" s="27">
        <v>0.6</v>
      </c>
      <c r="G56" s="48">
        <v>138024</v>
      </c>
      <c r="H56" s="49">
        <v>144000</v>
      </c>
      <c r="I56" s="31">
        <v>41407.199999999997</v>
      </c>
      <c r="J56" s="31">
        <v>43200</v>
      </c>
      <c r="K56" s="42">
        <v>13802.4</v>
      </c>
      <c r="L56" s="42">
        <v>14400</v>
      </c>
      <c r="M56" s="36">
        <v>82814.399999999994</v>
      </c>
      <c r="N56" s="37">
        <v>86400</v>
      </c>
    </row>
    <row r="57" spans="1:14" x14ac:dyDescent="0.25">
      <c r="A57" s="54">
        <v>6000001</v>
      </c>
      <c r="B57" s="55">
        <v>6150000</v>
      </c>
      <c r="C57" s="22">
        <v>2.35E-2</v>
      </c>
      <c r="D57" s="22">
        <v>0.3</v>
      </c>
      <c r="E57" s="22">
        <v>0.1</v>
      </c>
      <c r="F57" s="27">
        <v>0.6</v>
      </c>
      <c r="G57" s="48">
        <v>141000.02350000001</v>
      </c>
      <c r="H57" s="49">
        <v>144525</v>
      </c>
      <c r="I57" s="31">
        <v>42300.00705</v>
      </c>
      <c r="J57" s="31">
        <v>43357.5</v>
      </c>
      <c r="K57" s="42">
        <v>14100.002350000001</v>
      </c>
      <c r="L57" s="42">
        <v>14452.5</v>
      </c>
      <c r="M57" s="36">
        <v>84600.0141</v>
      </c>
      <c r="N57" s="37">
        <v>86715</v>
      </c>
    </row>
    <row r="58" spans="1:14" x14ac:dyDescent="0.25">
      <c r="A58" s="54">
        <v>6150001</v>
      </c>
      <c r="B58" s="55">
        <v>6300000</v>
      </c>
      <c r="C58" s="22">
        <v>2.35E-2</v>
      </c>
      <c r="D58" s="22">
        <v>0.3</v>
      </c>
      <c r="E58" s="22">
        <v>0.1</v>
      </c>
      <c r="F58" s="27">
        <v>0.6</v>
      </c>
      <c r="G58" s="48">
        <v>144525.02350000001</v>
      </c>
      <c r="H58" s="49">
        <v>148050</v>
      </c>
      <c r="I58" s="31">
        <v>43357.50705</v>
      </c>
      <c r="J58" s="31">
        <v>44415</v>
      </c>
      <c r="K58" s="42">
        <v>14452.502350000001</v>
      </c>
      <c r="L58" s="42">
        <v>14805</v>
      </c>
      <c r="M58" s="36">
        <v>86715.0141</v>
      </c>
      <c r="N58" s="37">
        <v>88830</v>
      </c>
    </row>
    <row r="59" spans="1:14" x14ac:dyDescent="0.25">
      <c r="A59" s="54">
        <v>6300001</v>
      </c>
      <c r="B59" s="55">
        <v>6450000</v>
      </c>
      <c r="C59" s="22">
        <v>2.35E-2</v>
      </c>
      <c r="D59" s="22">
        <v>0.3</v>
      </c>
      <c r="E59" s="22">
        <v>0.1</v>
      </c>
      <c r="F59" s="27">
        <v>0.6</v>
      </c>
      <c r="G59" s="48">
        <v>148050.02350000001</v>
      </c>
      <c r="H59" s="49">
        <v>151575</v>
      </c>
      <c r="I59" s="31">
        <v>44415.00705</v>
      </c>
      <c r="J59" s="31">
        <v>45472.5</v>
      </c>
      <c r="K59" s="42">
        <v>14805.002350000001</v>
      </c>
      <c r="L59" s="42">
        <v>15157.5</v>
      </c>
      <c r="M59" s="36">
        <v>88830.0141</v>
      </c>
      <c r="N59" s="37">
        <v>90945</v>
      </c>
    </row>
    <row r="60" spans="1:14" x14ac:dyDescent="0.25">
      <c r="A60" s="54">
        <v>6450001</v>
      </c>
      <c r="B60" s="55">
        <v>6600000</v>
      </c>
      <c r="C60" s="22">
        <v>2.35E-2</v>
      </c>
      <c r="D60" s="22">
        <v>0.3</v>
      </c>
      <c r="E60" s="22">
        <v>0.1</v>
      </c>
      <c r="F60" s="27">
        <v>0.6</v>
      </c>
      <c r="G60" s="48">
        <v>151575.02350000001</v>
      </c>
      <c r="H60" s="49">
        <v>155100</v>
      </c>
      <c r="I60" s="31">
        <v>45472.50705</v>
      </c>
      <c r="J60" s="31">
        <v>46530</v>
      </c>
      <c r="K60" s="42">
        <v>15157.502350000001</v>
      </c>
      <c r="L60" s="42">
        <v>15510</v>
      </c>
      <c r="M60" s="36">
        <v>90945.0141</v>
      </c>
      <c r="N60" s="37">
        <v>93060</v>
      </c>
    </row>
    <row r="61" spans="1:14" x14ac:dyDescent="0.25">
      <c r="A61" s="54">
        <v>6600001</v>
      </c>
      <c r="B61" s="55">
        <v>6750000</v>
      </c>
      <c r="C61" s="22">
        <v>2.35E-2</v>
      </c>
      <c r="D61" s="22">
        <v>0.3</v>
      </c>
      <c r="E61" s="22">
        <v>0.1</v>
      </c>
      <c r="F61" s="27">
        <v>0.6</v>
      </c>
      <c r="G61" s="48">
        <v>155100.02350000001</v>
      </c>
      <c r="H61" s="49">
        <v>158625</v>
      </c>
      <c r="I61" s="31">
        <v>46530.00705</v>
      </c>
      <c r="J61" s="31">
        <v>47587.5</v>
      </c>
      <c r="K61" s="42">
        <v>15510.002350000001</v>
      </c>
      <c r="L61" s="42">
        <v>15862.5</v>
      </c>
      <c r="M61" s="36">
        <v>93060.0141</v>
      </c>
      <c r="N61" s="37">
        <v>95175</v>
      </c>
    </row>
    <row r="62" spans="1:14" x14ac:dyDescent="0.25">
      <c r="A62" s="54">
        <v>6750001</v>
      </c>
      <c r="B62" s="55">
        <v>6900000</v>
      </c>
      <c r="C62" s="22">
        <v>2.35E-2</v>
      </c>
      <c r="D62" s="22">
        <v>0.3</v>
      </c>
      <c r="E62" s="22">
        <v>0.1</v>
      </c>
      <c r="F62" s="27">
        <v>0.6</v>
      </c>
      <c r="G62" s="48">
        <v>158625.02350000001</v>
      </c>
      <c r="H62" s="49">
        <v>162150</v>
      </c>
      <c r="I62" s="31">
        <v>47587.50705</v>
      </c>
      <c r="J62" s="31">
        <v>48645</v>
      </c>
      <c r="K62" s="42">
        <v>15862.502350000001</v>
      </c>
      <c r="L62" s="42">
        <v>16215</v>
      </c>
      <c r="M62" s="36">
        <v>95175.0141</v>
      </c>
      <c r="N62" s="37">
        <v>97290</v>
      </c>
    </row>
    <row r="63" spans="1:14" x14ac:dyDescent="0.25">
      <c r="A63" s="54">
        <v>6900001</v>
      </c>
      <c r="B63" s="55">
        <v>7050000</v>
      </c>
      <c r="C63" s="22">
        <v>2.3E-2</v>
      </c>
      <c r="D63" s="22">
        <v>0.3</v>
      </c>
      <c r="E63" s="22">
        <v>0.1</v>
      </c>
      <c r="F63" s="27">
        <v>0.6</v>
      </c>
      <c r="G63" s="48">
        <v>158700.02299999999</v>
      </c>
      <c r="H63" s="49">
        <v>162150</v>
      </c>
      <c r="I63" s="31">
        <v>47610.006899999993</v>
      </c>
      <c r="J63" s="31">
        <v>48645</v>
      </c>
      <c r="K63" s="42">
        <v>15870.0023</v>
      </c>
      <c r="L63" s="42">
        <v>16215</v>
      </c>
      <c r="M63" s="36">
        <v>95220.013799999986</v>
      </c>
      <c r="N63" s="37">
        <v>97290</v>
      </c>
    </row>
    <row r="64" spans="1:14" x14ac:dyDescent="0.25">
      <c r="A64" s="54">
        <v>7050001</v>
      </c>
      <c r="B64" s="55">
        <v>7200000</v>
      </c>
      <c r="C64" s="22">
        <v>2.3E-2</v>
      </c>
      <c r="D64" s="22">
        <v>0.3</v>
      </c>
      <c r="E64" s="22">
        <v>0.1</v>
      </c>
      <c r="F64" s="27">
        <v>0.6</v>
      </c>
      <c r="G64" s="48">
        <v>162150.02299999999</v>
      </c>
      <c r="H64" s="49">
        <v>165600</v>
      </c>
      <c r="I64" s="31">
        <v>48645.006899999993</v>
      </c>
      <c r="J64" s="31">
        <v>49680</v>
      </c>
      <c r="K64" s="42">
        <v>16215.0023</v>
      </c>
      <c r="L64" s="42">
        <v>16560</v>
      </c>
      <c r="M64" s="36">
        <v>97290.013799999986</v>
      </c>
      <c r="N64" s="37">
        <v>99360</v>
      </c>
    </row>
    <row r="65" spans="1:14" x14ac:dyDescent="0.25">
      <c r="A65" s="54">
        <v>7200001</v>
      </c>
      <c r="B65" s="55">
        <v>7350000</v>
      </c>
      <c r="C65" s="22">
        <v>2.3E-2</v>
      </c>
      <c r="D65" s="22">
        <v>0.3</v>
      </c>
      <c r="E65" s="22">
        <v>0.1</v>
      </c>
      <c r="F65" s="27">
        <v>0.6</v>
      </c>
      <c r="G65" s="48">
        <v>165600.02299999999</v>
      </c>
      <c r="H65" s="49">
        <v>169050</v>
      </c>
      <c r="I65" s="31">
        <v>49680.006899999993</v>
      </c>
      <c r="J65" s="31">
        <v>50715</v>
      </c>
      <c r="K65" s="42">
        <v>16560.0023</v>
      </c>
      <c r="L65" s="42">
        <v>16905</v>
      </c>
      <c r="M65" s="36">
        <v>99360.013799999986</v>
      </c>
      <c r="N65" s="37">
        <v>101430</v>
      </c>
    </row>
    <row r="66" spans="1:14" x14ac:dyDescent="0.25">
      <c r="A66" s="54">
        <v>7350001</v>
      </c>
      <c r="B66" s="55">
        <v>7500000</v>
      </c>
      <c r="C66" s="22">
        <v>2.3E-2</v>
      </c>
      <c r="D66" s="22">
        <v>0.3</v>
      </c>
      <c r="E66" s="22">
        <v>0.1</v>
      </c>
      <c r="F66" s="27">
        <v>0.6</v>
      </c>
      <c r="G66" s="48">
        <v>169050.02299999999</v>
      </c>
      <c r="H66" s="49">
        <v>172500</v>
      </c>
      <c r="I66" s="31">
        <v>50715.006899999993</v>
      </c>
      <c r="J66" s="31">
        <v>51750</v>
      </c>
      <c r="K66" s="42">
        <v>16905.0023</v>
      </c>
      <c r="L66" s="42">
        <v>17250</v>
      </c>
      <c r="M66" s="36">
        <v>101430.0138</v>
      </c>
      <c r="N66" s="37">
        <v>103500</v>
      </c>
    </row>
    <row r="67" spans="1:14" x14ac:dyDescent="0.25">
      <c r="A67" s="54">
        <v>7500001</v>
      </c>
      <c r="B67" s="55">
        <v>7750000</v>
      </c>
      <c r="C67" s="22">
        <v>2.3E-2</v>
      </c>
      <c r="D67" s="22">
        <v>0.3</v>
      </c>
      <c r="E67" s="22">
        <v>0.1</v>
      </c>
      <c r="F67" s="27">
        <v>0.6</v>
      </c>
      <c r="G67" s="48">
        <v>172500.02299999999</v>
      </c>
      <c r="H67" s="49">
        <v>178250</v>
      </c>
      <c r="I67" s="31">
        <v>51750.006899999993</v>
      </c>
      <c r="J67" s="31">
        <v>53475</v>
      </c>
      <c r="K67" s="42">
        <v>17250.0023</v>
      </c>
      <c r="L67" s="42">
        <v>17825</v>
      </c>
      <c r="M67" s="36">
        <v>103500.0138</v>
      </c>
      <c r="N67" s="37">
        <v>106950</v>
      </c>
    </row>
    <row r="68" spans="1:14" ht="15" customHeight="1" thickBot="1" x14ac:dyDescent="0.3">
      <c r="A68" s="56">
        <v>7750001</v>
      </c>
      <c r="B68" s="57">
        <v>8000000</v>
      </c>
      <c r="C68" s="23">
        <v>2.3E-2</v>
      </c>
      <c r="D68" s="23">
        <v>0.3</v>
      </c>
      <c r="E68" s="23">
        <v>0.1</v>
      </c>
      <c r="F68" s="28">
        <v>0.6</v>
      </c>
      <c r="G68" s="50">
        <v>178250.02299999999</v>
      </c>
      <c r="H68" s="51">
        <v>184000</v>
      </c>
      <c r="I68" s="32">
        <v>53475.006899999993</v>
      </c>
      <c r="J68" s="32">
        <v>55200</v>
      </c>
      <c r="K68" s="43">
        <v>17825.0023</v>
      </c>
      <c r="L68" s="43">
        <v>18400</v>
      </c>
      <c r="M68" s="38">
        <v>106950.0138</v>
      </c>
      <c r="N68" s="39">
        <v>110400</v>
      </c>
    </row>
    <row r="69" spans="1:14" ht="15" customHeight="1" thickTop="1" x14ac:dyDescent="0.25"/>
  </sheetData>
  <mergeCells count="5">
    <mergeCell ref="G1:H1"/>
    <mergeCell ref="A1:F1"/>
    <mergeCell ref="K1:L1"/>
    <mergeCell ref="M1:N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SD KARNE</vt:lpstr>
      <vt:lpstr>DATA</vt:lpstr>
      <vt:lpstr>PRİM HAVUZU (SV SİSTEM)</vt:lpstr>
      <vt:lpstr>'SD KARNE'!Yazdırma_Alanı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ugur.ozenmez</dc:creator>
  <cp:lastModifiedBy>Mahsun Baygün</cp:lastModifiedBy>
  <cp:lastPrinted>2026-10-08T05:13:32Z</cp:lastPrinted>
  <dcterms:created xsi:type="dcterms:W3CDTF">2015-06-05T18:19:34Z</dcterms:created>
  <dcterms:modified xsi:type="dcterms:W3CDTF">2026-10-09T06:55:50Z</dcterms:modified>
</cp:coreProperties>
</file>