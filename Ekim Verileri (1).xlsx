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gaza.mudur\Desktop\"/>
    </mc:Choice>
  </mc:AlternateContent>
  <xr:revisionPtr revIDLastSave="0" documentId="13_ncr:1_{998F4B2B-22A1-4E0B-8E3F-BD29D7B592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ğaza Data" sheetId="3" r:id="rId1"/>
    <sheet name="Personel Hedef" sheetId="6" r:id="rId2"/>
    <sheet name="Servis Planı" sheetId="7" r:id="rId3"/>
    <sheet name="Giriş Çıkış Formu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7" l="1" a="1"/>
  <c r="I12" i="3" l="1"/>
  <c r="I9" i="3"/>
  <c r="I6" i="3"/>
  <c r="K18" i="3"/>
  <c r="K17" i="3"/>
  <c r="K16" i="3"/>
  <c r="K15" i="3"/>
  <c r="T3" i="8" l="1"/>
  <c r="O6" i="7"/>
  <c r="I3" i="7"/>
  <c r="F8" i="3"/>
  <c r="C17" i="3" s="1"/>
  <c r="E17" i="3" s="1"/>
  <c r="F17" i="3" s="1"/>
  <c r="L53" i="6"/>
  <c r="N53" i="6" s="1"/>
  <c r="L52" i="6"/>
  <c r="N52" i="6" s="1"/>
  <c r="L51" i="6"/>
  <c r="N51" i="6" s="1"/>
  <c r="L50" i="6"/>
  <c r="N50" i="6" s="1"/>
  <c r="L49" i="6"/>
  <c r="N49" i="6" s="1"/>
  <c r="L48" i="6"/>
  <c r="N48" i="6" s="1"/>
  <c r="L47" i="6"/>
  <c r="N47" i="6" s="1"/>
  <c r="L46" i="6"/>
  <c r="N46" i="6" s="1"/>
  <c r="L39" i="6"/>
  <c r="N39" i="6" s="1"/>
  <c r="L38" i="6"/>
  <c r="N38" i="6" s="1"/>
  <c r="L37" i="6"/>
  <c r="N37" i="6" s="1"/>
  <c r="L36" i="6"/>
  <c r="N36" i="6" s="1"/>
  <c r="L35" i="6"/>
  <c r="N35" i="6" s="1"/>
  <c r="L34" i="6"/>
  <c r="N34" i="6" s="1"/>
  <c r="L33" i="6"/>
  <c r="N33" i="6" s="1"/>
  <c r="L32" i="6"/>
  <c r="N32" i="6" s="1"/>
  <c r="L25" i="6"/>
  <c r="N25" i="6" s="1"/>
  <c r="L24" i="6"/>
  <c r="N24" i="6" s="1"/>
  <c r="L23" i="6"/>
  <c r="N23" i="6" s="1"/>
  <c r="L22" i="6"/>
  <c r="N22" i="6" s="1"/>
  <c r="L21" i="6"/>
  <c r="N21" i="6" s="1"/>
  <c r="L20" i="6"/>
  <c r="N20" i="6" s="1"/>
  <c r="L19" i="6"/>
  <c r="N19" i="6" s="1"/>
  <c r="L18" i="6"/>
  <c r="N18" i="6" s="1"/>
  <c r="L45" i="6"/>
  <c r="N45" i="6" s="1"/>
  <c r="L44" i="6"/>
  <c r="L31" i="6"/>
  <c r="N31" i="6" s="1"/>
  <c r="L30" i="6"/>
  <c r="L17" i="6"/>
  <c r="N17" i="6" s="1"/>
  <c r="L16" i="6"/>
  <c r="R15" i="6"/>
  <c r="R14" i="6"/>
  <c r="R13" i="6"/>
  <c r="R12" i="6"/>
  <c r="R11" i="6"/>
  <c r="Q14" i="6"/>
  <c r="Q15" i="6"/>
  <c r="Q13" i="6"/>
  <c r="Q12" i="6"/>
  <c r="Q11" i="6"/>
  <c r="M55" i="6"/>
  <c r="K55" i="6"/>
  <c r="J55" i="6"/>
  <c r="I55" i="6"/>
  <c r="H55" i="6"/>
  <c r="G55" i="6"/>
  <c r="F55" i="6"/>
  <c r="E55" i="6"/>
  <c r="D55" i="6"/>
  <c r="M54" i="6"/>
  <c r="K54" i="6"/>
  <c r="J54" i="6"/>
  <c r="I54" i="6"/>
  <c r="H54" i="6"/>
  <c r="G54" i="6"/>
  <c r="F54" i="6"/>
  <c r="E54" i="6"/>
  <c r="D54" i="6"/>
  <c r="M41" i="6"/>
  <c r="K41" i="6"/>
  <c r="J41" i="6"/>
  <c r="I41" i="6"/>
  <c r="H41" i="6"/>
  <c r="G41" i="6"/>
  <c r="F41" i="6"/>
  <c r="E41" i="6"/>
  <c r="D41" i="6"/>
  <c r="M40" i="6"/>
  <c r="K40" i="6"/>
  <c r="J40" i="6"/>
  <c r="I40" i="6"/>
  <c r="H40" i="6"/>
  <c r="G40" i="6"/>
  <c r="F40" i="6"/>
  <c r="E40" i="6"/>
  <c r="D40" i="6"/>
  <c r="M27" i="6"/>
  <c r="K27" i="6"/>
  <c r="J27" i="6"/>
  <c r="I27" i="6"/>
  <c r="H27" i="6"/>
  <c r="G27" i="6"/>
  <c r="F27" i="6"/>
  <c r="E27" i="6"/>
  <c r="D27" i="6"/>
  <c r="M26" i="6"/>
  <c r="K26" i="6"/>
  <c r="J26" i="6"/>
  <c r="I26" i="6"/>
  <c r="H26" i="6"/>
  <c r="G26" i="6"/>
  <c r="F26" i="6"/>
  <c r="E26" i="6"/>
  <c r="D26" i="6"/>
  <c r="K13" i="6"/>
  <c r="J13" i="6"/>
  <c r="I13" i="6"/>
  <c r="H13" i="6"/>
  <c r="G13" i="6"/>
  <c r="F13" i="6"/>
  <c r="E13" i="6"/>
  <c r="K12" i="6"/>
  <c r="J12" i="6"/>
  <c r="I12" i="6"/>
  <c r="H12" i="6"/>
  <c r="G12" i="6"/>
  <c r="F12" i="6"/>
  <c r="E12" i="6"/>
  <c r="M13" i="6"/>
  <c r="M12" i="6"/>
  <c r="D13" i="6"/>
  <c r="D12" i="6"/>
  <c r="L11" i="6"/>
  <c r="N11" i="6" s="1"/>
  <c r="L10" i="6"/>
  <c r="L9" i="6"/>
  <c r="L8" i="6"/>
  <c r="L7" i="6"/>
  <c r="N7" i="6" s="1"/>
  <c r="L6" i="6"/>
  <c r="N6" i="6" s="1"/>
  <c r="L5" i="6"/>
  <c r="L4" i="6"/>
  <c r="L3" i="6"/>
  <c r="L2" i="6"/>
  <c r="F11" i="3"/>
  <c r="C20" i="3" s="1"/>
  <c r="F10" i="3"/>
  <c r="C19" i="3" s="1"/>
  <c r="F9" i="3"/>
  <c r="C18" i="3" s="1"/>
  <c r="H23" i="3"/>
  <c r="J27" i="3"/>
  <c r="I27" i="3"/>
  <c r="J19" i="3"/>
  <c r="I19" i="3"/>
  <c r="C25" i="3"/>
  <c r="F14" i="3"/>
  <c r="C23" i="3" s="1"/>
  <c r="E23" i="3" s="1"/>
  <c r="F23" i="3" s="1"/>
  <c r="F13" i="3"/>
  <c r="C22" i="3" s="1"/>
  <c r="E22" i="3" s="1"/>
  <c r="F22" i="3" s="1"/>
  <c r="F12" i="3"/>
  <c r="C21" i="3" s="1"/>
  <c r="E21" i="3" s="1"/>
  <c r="F21" i="3" s="1"/>
  <c r="K19" i="3" l="1"/>
  <c r="L55" i="6"/>
  <c r="N55" i="6" s="1"/>
  <c r="L41" i="6"/>
  <c r="N41" i="6" s="1"/>
  <c r="F25" i="3"/>
  <c r="R5" i="6"/>
  <c r="T5" i="6" s="1"/>
  <c r="R7" i="6"/>
  <c r="Q7" i="6"/>
  <c r="N10" i="6"/>
  <c r="R6" i="6"/>
  <c r="T6" i="6" s="1"/>
  <c r="N9" i="6"/>
  <c r="Q6" i="6"/>
  <c r="S6" i="6" s="1"/>
  <c r="N8" i="6"/>
  <c r="Q5" i="6"/>
  <c r="S5" i="6" s="1"/>
  <c r="L27" i="6"/>
  <c r="N27" i="6" s="1"/>
  <c r="N5" i="6"/>
  <c r="R4" i="6"/>
  <c r="N4" i="6"/>
  <c r="Q4" i="6"/>
  <c r="N3" i="6"/>
  <c r="R3" i="6"/>
  <c r="T3" i="6" s="1"/>
  <c r="L12" i="6"/>
  <c r="N12" i="6" s="1"/>
  <c r="N2" i="6"/>
  <c r="Q3" i="6"/>
  <c r="S3" i="6" s="1"/>
  <c r="L54" i="6"/>
  <c r="N54" i="6" s="1"/>
  <c r="N44" i="6"/>
  <c r="L40" i="6"/>
  <c r="N40" i="6" s="1"/>
  <c r="N30" i="6"/>
  <c r="L26" i="6"/>
  <c r="N26" i="6" s="1"/>
  <c r="N16" i="6"/>
  <c r="L13" i="6"/>
  <c r="N13" i="6" s="1"/>
  <c r="E18" i="3"/>
  <c r="F18" i="3"/>
  <c r="F20" i="3"/>
  <c r="E20" i="3"/>
  <c r="F19" i="3"/>
  <c r="E19" i="3"/>
  <c r="T7" i="6" l="1"/>
  <c r="S7" i="6"/>
  <c r="T4" i="6"/>
  <c r="S4" i="6"/>
  <c r="B1" i="8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<sst xmlns="http://schemas.openxmlformats.org/spreadsheetml/2006/main" count="480" uniqueCount="183">
  <si>
    <t>MAĞAZA PERFORMANS VE AYLIK DEĞERLENDİRME RAPORU</t>
  </si>
  <si>
    <t>Trafik</t>
  </si>
  <si>
    <t>Ay Gün Sayısı</t>
  </si>
  <si>
    <t>Geçen Gün Sayısı</t>
  </si>
  <si>
    <t>Ciro</t>
  </si>
  <si>
    <t>Upt</t>
  </si>
  <si>
    <t>Cr</t>
  </si>
  <si>
    <t>Asp</t>
  </si>
  <si>
    <t>Fatura</t>
  </si>
  <si>
    <t>Ürün Adedi</t>
  </si>
  <si>
    <t>Kpı</t>
  </si>
  <si>
    <t>Gerçekleşmesi Gereken</t>
  </si>
  <si>
    <t>Gerçekleşen</t>
  </si>
  <si>
    <t>Fark</t>
  </si>
  <si>
    <t xml:space="preserve">Sapma </t>
  </si>
  <si>
    <t>Tahmini Kapanış Cirosu</t>
  </si>
  <si>
    <t>Unısex</t>
  </si>
  <si>
    <t>Total</t>
  </si>
  <si>
    <t>Accessories</t>
  </si>
  <si>
    <t>Büyüme</t>
  </si>
  <si>
    <t>STOK 2025 / 2026</t>
  </si>
  <si>
    <t>Male</t>
  </si>
  <si>
    <t>Female</t>
  </si>
  <si>
    <t>Kids</t>
  </si>
  <si>
    <t>Apparel</t>
  </si>
  <si>
    <t>Footwear</t>
  </si>
  <si>
    <t>FOOTWEAR</t>
  </si>
  <si>
    <t>APPAREL</t>
  </si>
  <si>
    <t>ACCESSORIES</t>
  </si>
  <si>
    <t>Hgo</t>
  </si>
  <si>
    <t xml:space="preserve">KATEGORİ &amp; CİNSİYET 2025 / 2026 </t>
  </si>
  <si>
    <t>CİNSİYET</t>
  </si>
  <si>
    <t>Ekim.26 Hedefler</t>
  </si>
  <si>
    <t>Ekim.26 Günlük Yapılması Gerekenler</t>
  </si>
  <si>
    <t>Personel Adı</t>
  </si>
  <si>
    <t>Unvan</t>
  </si>
  <si>
    <t>Metrik Tipi</t>
  </si>
  <si>
    <t>Aylık Hedef</t>
  </si>
  <si>
    <t>1. Hafta Toplam</t>
  </si>
  <si>
    <t>2. Hafta Toplam</t>
  </si>
  <si>
    <t>3. Hafta Toplam</t>
  </si>
  <si>
    <t>4. Hafta Toplam</t>
  </si>
  <si>
    <t>Sinem</t>
  </si>
  <si>
    <t>Şef</t>
  </si>
  <si>
    <t>Adet</t>
  </si>
  <si>
    <t>Serkan</t>
  </si>
  <si>
    <t>Satış Danışmanı</t>
  </si>
  <si>
    <t>Cem</t>
  </si>
  <si>
    <t>Merve</t>
  </si>
  <si>
    <t>Ecenur</t>
  </si>
  <si>
    <t>MAĞAZA TOPLAM</t>
  </si>
  <si>
    <t>Toplam</t>
  </si>
  <si>
    <t>1. Hafta Hedef</t>
  </si>
  <si>
    <t>Gerçekleşme</t>
  </si>
  <si>
    <t>2. Hafta Hedef</t>
  </si>
  <si>
    <t>Aylık Veriler</t>
  </si>
  <si>
    <t>F. Gerçekleşen</t>
  </si>
  <si>
    <t>A. Gerçekleşen</t>
  </si>
  <si>
    <t>Günlük Hedefler</t>
  </si>
  <si>
    <t xml:space="preserve">  SERVİS PLANI</t>
  </si>
  <si>
    <t xml:space="preserve">Mağaza Adı: </t>
  </si>
  <si>
    <t>BUYAKA</t>
  </si>
  <si>
    <t xml:space="preserve">Mevcut Ay Satış Hedefi : </t>
  </si>
  <si>
    <t xml:space="preserve">Tarih: </t>
  </si>
  <si>
    <t>Satış Hedefi</t>
  </si>
  <si>
    <t>UPT</t>
  </si>
  <si>
    <t>CR</t>
  </si>
  <si>
    <t>ATV</t>
  </si>
  <si>
    <t>Bugüne kadar planlanan</t>
  </si>
  <si>
    <t>Reyon Dağılımı</t>
  </si>
  <si>
    <t>1 RTF Men</t>
  </si>
  <si>
    <t>5 Sportstyle Woman</t>
  </si>
  <si>
    <t>3 Motorsport</t>
  </si>
  <si>
    <t>6 Aksesuar</t>
  </si>
  <si>
    <t>4 Sportstyle Men</t>
  </si>
  <si>
    <t xml:space="preserve">                                                                                          Nakit Para Kontrolü</t>
  </si>
  <si>
    <t>Kasa Nakiti</t>
  </si>
  <si>
    <t>GIZ</t>
  </si>
  <si>
    <t xml:space="preserve">                                                                                         Personel Satış Datası </t>
  </si>
  <si>
    <t>İsim</t>
  </si>
  <si>
    <t>İmza</t>
  </si>
  <si>
    <t>Sorumlu olduğu reyon</t>
  </si>
  <si>
    <t>Satış/UPT</t>
  </si>
  <si>
    <t>SİNEM</t>
  </si>
  <si>
    <t>ALL</t>
  </si>
  <si>
    <t>SERKAN</t>
  </si>
  <si>
    <t>CEM</t>
  </si>
  <si>
    <t xml:space="preserve">FOOTWEAR </t>
  </si>
  <si>
    <t>MERVE</t>
  </si>
  <si>
    <t>ECE NUR</t>
  </si>
  <si>
    <t>WOMEN+ACC</t>
  </si>
  <si>
    <t xml:space="preserve">*Gün içinde personelin VM sorumlusu oldugu alanı belirtin </t>
  </si>
  <si>
    <t>Günün En Önemli Hedefleri</t>
  </si>
  <si>
    <t>ÜRÜN</t>
  </si>
  <si>
    <t>Operasyon</t>
  </si>
  <si>
    <t>EĞİTİM KONUSU</t>
  </si>
  <si>
    <t xml:space="preserve">Açılış            </t>
  </si>
  <si>
    <t>Kapanış</t>
  </si>
  <si>
    <t>DIŞ GÖRÜNÜM</t>
  </si>
  <si>
    <t>Saat:</t>
  </si>
  <si>
    <t>Vitrin &amp; Mankenlerin Temizliği</t>
  </si>
  <si>
    <t>PUMA Tabelası Temizliği ve Işıklandırması</t>
  </si>
  <si>
    <t>Pazarlama / Görsel Malzemeleri Güncel ve Kusursuz</t>
  </si>
  <si>
    <t>Vitrin Işıklandırması Çalışıyor ve Doğru Açılandırılmış</t>
  </si>
  <si>
    <t>İÇ GÖRÜNÜM</t>
  </si>
  <si>
    <t>Görsel Düzen Tüm Ünitelerde Standartlara ve Kampanyaya Uygun</t>
  </si>
  <si>
    <t>Aynalar Temiz</t>
  </si>
  <si>
    <t>Fiyatlandırma, Etiket, Alarm Standartlara Göre Güncel</t>
  </si>
  <si>
    <t>KASA</t>
  </si>
  <si>
    <t>Yazar Kasalar Çalışıyor ve Tüm Yazar Kasalara Açılış Virmanı Yapıldı</t>
  </si>
  <si>
    <t>Yazar Kasalardaki Tüm Nakit Çelik Kasaya Aktarıldı</t>
  </si>
  <si>
    <t>Teşhir Edilen Pazarlama Materyali / Güncel Taksit Görseli Mevcut</t>
  </si>
  <si>
    <t xml:space="preserve">Temiz ve Düzenli </t>
  </si>
  <si>
    <t>MAĞAZA</t>
  </si>
  <si>
    <t xml:space="preserve">Yangın Çıkışları Açık </t>
  </si>
  <si>
    <t>Alarm Antenleri Çalışıyor</t>
  </si>
  <si>
    <t>Kameralar Çalışıyor Ve Kayıtta</t>
  </si>
  <si>
    <t>Çöplerden Arındırılmış</t>
  </si>
  <si>
    <t xml:space="preserve">Arka Kapı Alarmı Çalışıyor </t>
  </si>
  <si>
    <t>ARKA BÖLÜMLER</t>
  </si>
  <si>
    <t>Depo Temiz ve Düzenli</t>
  </si>
  <si>
    <t>Vardiyada Olan Personel Dolapları Kilitli</t>
  </si>
  <si>
    <t>Personel Dolapları Boşaltılmış</t>
  </si>
  <si>
    <t>Müdür odasında stok bulunmuyor</t>
  </si>
  <si>
    <t>BAKIM SORUNLARI</t>
  </si>
  <si>
    <t>Termostat Isı Kontrolü Yapıldı</t>
  </si>
  <si>
    <t>Şarjlı Lightbox'lar Şarj Edildi (mevcut ise)</t>
  </si>
  <si>
    <t>Bir önceki günün bakım sorunları bildirilmiştir</t>
  </si>
  <si>
    <t>AKTİVİTELER</t>
  </si>
  <si>
    <t>Know Your Numbers Tablosu Dolduruldu</t>
  </si>
  <si>
    <t>HÇP, Personel Performans, TOP 20 ve Rakip Analizi Bölge Müdürüne gönderildi</t>
  </si>
  <si>
    <t>Mağaza Dosyaları Kontrol Edildi</t>
  </si>
  <si>
    <t>BE NICE TOOLBOX Performans Geribildirim Görüşmeleri Yapıldı</t>
  </si>
  <si>
    <t>Stok Listesi ile Karşılaştırmalı Reyon Eksik Kontrolü Yapıldı</t>
  </si>
  <si>
    <t>Bankaya Para Yatırıldı</t>
  </si>
  <si>
    <t>:</t>
  </si>
  <si>
    <r>
      <t xml:space="preserve">Gün: </t>
    </r>
    <r>
      <rPr>
        <sz val="14"/>
        <color rgb="FF000000"/>
        <rFont val="Calibri"/>
        <family val="2"/>
        <charset val="204"/>
        <scheme val="minor"/>
      </rPr>
      <t>Pzt</t>
    </r>
    <r>
      <rPr>
        <sz val="14"/>
        <color theme="1" tint="0.34998626667073579"/>
        <rFont val="Wingdings"/>
        <charset val="2"/>
      </rPr>
      <t>o</t>
    </r>
    <r>
      <rPr>
        <sz val="14"/>
        <color rgb="FF000000"/>
        <rFont val="Calibri"/>
        <family val="2"/>
        <charset val="204"/>
        <scheme val="minor"/>
      </rPr>
      <t>; Salı</t>
    </r>
    <r>
      <rPr>
        <sz val="14"/>
        <color theme="1" tint="0.34998626667073579"/>
        <rFont val="Wingdings"/>
        <charset val="2"/>
      </rPr>
      <t>o</t>
    </r>
    <r>
      <rPr>
        <sz val="14"/>
        <color rgb="FF000000"/>
        <rFont val="Calibri"/>
        <family val="2"/>
        <charset val="204"/>
        <scheme val="minor"/>
      </rPr>
      <t>; Çar</t>
    </r>
    <r>
      <rPr>
        <sz val="14"/>
        <color theme="1" tint="0.34998626667073579"/>
        <rFont val="Wingdings"/>
        <charset val="2"/>
      </rPr>
      <t>o</t>
    </r>
    <r>
      <rPr>
        <sz val="14"/>
        <color rgb="FF000000"/>
        <rFont val="Calibri"/>
        <family val="2"/>
        <charset val="204"/>
        <scheme val="minor"/>
      </rPr>
      <t>; Per</t>
    </r>
    <r>
      <rPr>
        <sz val="14"/>
        <color theme="1" tint="0.34998626667073579"/>
        <rFont val="Wingdings"/>
        <charset val="2"/>
      </rPr>
      <t>o</t>
    </r>
    <r>
      <rPr>
        <sz val="14"/>
        <color rgb="FF000000"/>
        <rFont val="Calibri"/>
        <family val="2"/>
        <charset val="204"/>
        <scheme val="minor"/>
      </rPr>
      <t>;Cuma</t>
    </r>
    <r>
      <rPr>
        <sz val="14"/>
        <color theme="1" tint="0.34998626667073579"/>
        <rFont val="Wingdings"/>
        <charset val="2"/>
      </rPr>
      <t>o</t>
    </r>
    <r>
      <rPr>
        <sz val="14"/>
        <color rgb="FF000000"/>
        <rFont val="Calibri"/>
        <family val="2"/>
        <charset val="204"/>
        <scheme val="minor"/>
      </rPr>
      <t>;Ctst</t>
    </r>
    <r>
      <rPr>
        <sz val="14"/>
        <color theme="1" tint="0.34998626667073579"/>
        <rFont val="Wingdings"/>
        <charset val="2"/>
      </rPr>
      <t>o</t>
    </r>
    <r>
      <rPr>
        <sz val="14"/>
        <color rgb="FF000000"/>
        <rFont val="Calibri"/>
        <family val="2"/>
        <charset val="204"/>
        <scheme val="minor"/>
      </rPr>
      <t>; Pzr</t>
    </r>
    <r>
      <rPr>
        <sz val="14"/>
        <color theme="1" tint="0.34998626667073579"/>
        <rFont val="Wingdings"/>
        <charset val="2"/>
      </rPr>
      <t>o</t>
    </r>
  </si>
  <si>
    <t>TARİH</t>
  </si>
  <si>
    <t>Perakende Personel Giriş İmza Sayfası</t>
  </si>
  <si>
    <t>Çalışan</t>
  </si>
  <si>
    <t>Vardiya</t>
  </si>
  <si>
    <t>İşe Giriş
Saati</t>
  </si>
  <si>
    <t>İşe Girişte
Arama Yapan Kişi</t>
  </si>
  <si>
    <t>İşten
Çıkış Saati</t>
  </si>
  <si>
    <t>İşten Çıkışta
Arama Yapan Kişi</t>
  </si>
  <si>
    <t>Kişisel Puma Mülkiyeti</t>
  </si>
  <si>
    <t>Saatleri</t>
  </si>
  <si>
    <t>Üst</t>
  </si>
  <si>
    <t>Alt</t>
  </si>
  <si>
    <t>Ayakkabı</t>
  </si>
  <si>
    <t>Aksesuar</t>
  </si>
  <si>
    <t>M.BERAT DAĞITMAÇ</t>
  </si>
  <si>
    <t>Ceket</t>
  </si>
  <si>
    <t>Pantolon</t>
  </si>
  <si>
    <t>Spor Ayk.</t>
  </si>
  <si>
    <t>Çorap</t>
  </si>
  <si>
    <t xml:space="preserve">
ADET</t>
  </si>
  <si>
    <t>Sweatshirt</t>
  </si>
  <si>
    <t>Şort</t>
  </si>
  <si>
    <t>Terlik</t>
  </si>
  <si>
    <t>İç Çamaşır</t>
  </si>
  <si>
    <t>T-shirt</t>
  </si>
  <si>
    <t>Tayt</t>
  </si>
  <si>
    <t>Matara</t>
  </si>
  <si>
    <t>Saat</t>
  </si>
  <si>
    <t xml:space="preserve"> </t>
  </si>
  <si>
    <t>Mont</t>
  </si>
  <si>
    <t>Maske</t>
  </si>
  <si>
    <t>Cüzdan</t>
  </si>
  <si>
    <t>Çanta</t>
  </si>
  <si>
    <t>SİNEM PALAZ</t>
  </si>
  <si>
    <t>SERKAN CANİK</t>
  </si>
  <si>
    <t>CEM AKTAŞ</t>
  </si>
  <si>
    <t>MERVE ÇETİN</t>
  </si>
  <si>
    <t>ECE NUR TEMÜR</t>
  </si>
  <si>
    <t>SPRTSTYLE + RUN</t>
  </si>
  <si>
    <t>MOTOSPORT + TEMASPORT</t>
  </si>
  <si>
    <t>OFF</t>
  </si>
  <si>
    <t>İtiraz karşılama rol canlandırması</t>
  </si>
  <si>
    <t>SEVKİYAT ALIMI (TRANSFER)</t>
  </si>
  <si>
    <t>VM
Fiyat etiketi ve kampanya görsel</t>
  </si>
  <si>
    <t>Tekstil Teknolojileri
DryCELL ve StormCELL karşılaştırması</t>
  </si>
  <si>
    <t>DRYCELL &amp; STORMCELL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</si>
</sst>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₺&quot;* #,##0.00_-;\-&quot;₺&quot;* #,##0.00_-;_-&quot;₺&quot;* &quot;-&quot;??_-;_-@_-"/>
    <numFmt numFmtId="164" formatCode="#,###\ \T\L"/>
    <numFmt numFmtId="165" formatCode="#,###\T\L"/>
    <numFmt numFmtId="166" formatCode="0.0"/>
    <numFmt numFmtId="167" formatCode="&quot;₺&quot;#,##0"/>
  </numFmts>
  <fonts count="41">
    <font>
      <sz val="11"/>
      <color theme="1"/>
      <name val="Calibri"/>
      <family val="2"/>
      <scheme val="minor"/>
    </font>
    <font>
      <b/>
      <sz val="16"/>
      <color rgb="FF1F4E78"/>
      <name val="Tahoma"/>
      <family val="2"/>
      <charset val="162"/>
    </font>
    <font>
      <sz val="12"/>
      <color theme="1"/>
      <name val="Tahoma"/>
      <family val="2"/>
      <charset val="162"/>
    </font>
    <font>
      <b/>
      <sz val="12"/>
      <name val="Tahoma"/>
      <family val="2"/>
      <charset val="162"/>
    </font>
    <font>
      <sz val="12"/>
      <name val="Tahoma"/>
      <family val="2"/>
      <charset val="162"/>
    </font>
    <font>
      <b/>
      <sz val="12"/>
      <color rgb="FFFFFFFF"/>
      <name val="Tahoma"/>
      <family val="2"/>
      <charset val="162"/>
    </font>
    <font>
      <b/>
      <sz val="12"/>
      <color rgb="FFFF0000"/>
      <name val="Tahoma"/>
      <family val="2"/>
      <charset val="162"/>
    </font>
    <font>
      <b/>
      <sz val="15"/>
      <color theme="8" tint="-0.249977111117893"/>
      <name val="Tahoma"/>
      <family val="2"/>
      <charset val="162"/>
    </font>
    <font>
      <b/>
      <sz val="15"/>
      <color theme="1"/>
      <name val="Tahoma"/>
      <family val="2"/>
      <charset val="162"/>
    </font>
    <font>
      <b/>
      <sz val="15"/>
      <color theme="0"/>
      <name val="Tahoma"/>
      <family val="2"/>
      <charset val="162"/>
    </font>
    <font>
      <b/>
      <sz val="15"/>
      <color rgb="FFFFFFFF"/>
      <name val="Tahoma"/>
      <family val="2"/>
      <charset val="162"/>
    </font>
    <font>
      <b/>
      <sz val="15"/>
      <color theme="8" tint="-0.499984740745262"/>
      <name val="Tahoma"/>
      <family val="2"/>
      <charset val="162"/>
    </font>
    <font>
      <sz val="15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4" tint="-0.499984740745262"/>
      <name val="Calibri"/>
      <family val="2"/>
      <charset val="162"/>
      <scheme val="minor"/>
    </font>
    <font>
      <b/>
      <sz val="9"/>
      <color theme="1"/>
      <name val="FF DIN for PUMA Bold"/>
      <charset val="162"/>
    </font>
    <font>
      <b/>
      <sz val="18"/>
      <color rgb="FFFF0000"/>
      <name val="FF DIN for PUMA Bold"/>
      <charset val="162"/>
    </font>
    <font>
      <b/>
      <sz val="11"/>
      <color rgb="FFFF0000"/>
      <name val="FF DIN for PUMA Bold"/>
      <charset val="162"/>
    </font>
    <font>
      <b/>
      <sz val="11"/>
      <color theme="1"/>
      <name val="FF DIN for PUMA Bold"/>
      <charset val="162"/>
    </font>
    <font>
      <b/>
      <sz val="8"/>
      <color rgb="FFFF0000"/>
      <name val="FF DIN for PUMA Bold"/>
      <charset val="162"/>
    </font>
    <font>
      <b/>
      <sz val="8"/>
      <color theme="1"/>
      <name val="FF DIN for PUMA Bold"/>
      <charset val="162"/>
    </font>
    <font>
      <b/>
      <sz val="10"/>
      <color theme="1"/>
      <name val="FF DIN for PUMA Bold"/>
      <charset val="162"/>
    </font>
    <font>
      <b/>
      <u/>
      <sz val="11"/>
      <color theme="1"/>
      <name val="FF DIN for PUMA Bold"/>
      <charset val="162"/>
    </font>
    <font>
      <b/>
      <u/>
      <sz val="9"/>
      <color theme="1"/>
      <name val="FF DIN for PUMA Bold"/>
      <charset val="162"/>
    </font>
    <font>
      <b/>
      <sz val="9"/>
      <color indexed="8"/>
      <name val="FF DIN for PUMA Bold"/>
      <charset val="162"/>
    </font>
    <font>
      <b/>
      <sz val="14"/>
      <color rgb="FF000000"/>
      <name val="Tahoma"/>
      <family val="2"/>
      <charset val="204"/>
    </font>
    <font>
      <sz val="14"/>
      <color rgb="FF000000"/>
      <name val="Calibri"/>
      <family val="2"/>
      <charset val="204"/>
      <scheme val="minor"/>
    </font>
    <font>
      <sz val="14"/>
      <color theme="1" tint="0.34998626667073579"/>
      <name val="Wingdings"/>
      <charset val="2"/>
    </font>
    <font>
      <b/>
      <sz val="12"/>
      <color rgb="FF000000"/>
      <name val="Tahoma"/>
      <family val="2"/>
      <charset val="204"/>
    </font>
    <font>
      <b/>
      <sz val="11"/>
      <color rgb="FF000000"/>
      <name val="Tahoma"/>
      <family val="2"/>
      <charset val="204"/>
    </font>
    <font>
      <b/>
      <u/>
      <sz val="20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Tahoma"/>
      <family val="2"/>
      <charset val="162"/>
    </font>
    <font>
      <sz val="11"/>
      <color theme="1"/>
      <name val="Tahoma"/>
      <family val="2"/>
      <charset val="162"/>
    </font>
    <font>
      <sz val="11"/>
      <color rgb="FF000000"/>
      <name val="Tahoma"/>
      <family val="2"/>
      <charset val="204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0"/>
      <name val="Calibri"/>
      <family val="2"/>
      <charset val="16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F9FBFD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rgb="FF1F4E78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9FBFD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indexed="64"/>
      </left>
      <right/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27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10" fontId="0" fillId="0" borderId="0" xfId="0" applyNumberFormat="1"/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10" fontId="11" fillId="5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10" fontId="9" fillId="4" borderId="1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165" fontId="9" fillId="7" borderId="0" xfId="0" applyNumberFormat="1" applyFont="1" applyFill="1" applyAlignment="1">
      <alignment horizontal="center" vertical="center"/>
    </xf>
    <xf numFmtId="10" fontId="9" fillId="7" borderId="0" xfId="0" applyNumberFormat="1" applyFont="1" applyFill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0" borderId="0" xfId="0" applyFont="1"/>
    <xf numFmtId="0" fontId="9" fillId="7" borderId="1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64" fontId="11" fillId="5" borderId="0" xfId="0" applyNumberFormat="1" applyFont="1" applyFill="1" applyAlignment="1">
      <alignment horizontal="center" vertical="center"/>
    </xf>
    <xf numFmtId="164" fontId="11" fillId="5" borderId="1" xfId="0" applyNumberFormat="1" applyFont="1" applyFill="1" applyBorder="1" applyAlignment="1" applyProtection="1">
      <alignment horizontal="center" vertical="center"/>
      <protection locked="0"/>
    </xf>
    <xf numFmtId="164" fontId="11" fillId="5" borderId="0" xfId="0" applyNumberFormat="1" applyFont="1" applyFill="1" applyAlignment="1" applyProtection="1">
      <alignment horizontal="center" vertical="center"/>
      <protection locked="0"/>
    </xf>
    <xf numFmtId="164" fontId="9" fillId="3" borderId="0" xfId="0" applyNumberFormat="1" applyFont="1" applyFill="1" applyAlignment="1" applyProtection="1">
      <alignment horizontal="center" vertical="center"/>
      <protection locked="0"/>
    </xf>
    <xf numFmtId="0" fontId="11" fillId="5" borderId="0" xfId="0" applyFont="1" applyFill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horizontal="center" vertical="center"/>
      <protection locked="0"/>
    </xf>
    <xf numFmtId="0" fontId="10" fillId="6" borderId="2" xfId="0" applyFont="1" applyFill="1" applyBorder="1" applyAlignment="1" applyProtection="1">
      <alignment horizontal="center" vertical="center"/>
      <protection locked="0"/>
    </xf>
    <xf numFmtId="164" fontId="9" fillId="7" borderId="1" xfId="0" applyNumberFormat="1" applyFont="1" applyFill="1" applyBorder="1" applyAlignment="1" applyProtection="1">
      <alignment horizontal="center" vertical="center"/>
      <protection locked="0"/>
    </xf>
    <xf numFmtId="2" fontId="9" fillId="8" borderId="1" xfId="0" applyNumberFormat="1" applyFont="1" applyFill="1" applyBorder="1" applyAlignment="1" applyProtection="1">
      <alignment horizontal="center" vertical="center"/>
      <protection locked="0"/>
    </xf>
    <xf numFmtId="10" fontId="9" fillId="7" borderId="1" xfId="0" applyNumberFormat="1" applyFont="1" applyFill="1" applyBorder="1" applyAlignment="1" applyProtection="1">
      <alignment horizontal="center" vertical="center"/>
      <protection locked="0"/>
    </xf>
    <xf numFmtId="164" fontId="9" fillId="8" borderId="1" xfId="0" applyNumberFormat="1" applyFont="1" applyFill="1" applyBorder="1" applyAlignment="1" applyProtection="1">
      <alignment horizontal="center" vertical="center"/>
      <protection locked="0"/>
    </xf>
    <xf numFmtId="3" fontId="9" fillId="7" borderId="1" xfId="0" applyNumberFormat="1" applyFont="1" applyFill="1" applyBorder="1" applyAlignment="1" applyProtection="1">
      <alignment horizontal="center" vertical="center"/>
      <protection locked="0"/>
    </xf>
    <xf numFmtId="3" fontId="9" fillId="8" borderId="1" xfId="0" applyNumberFormat="1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Alignment="1" applyProtection="1">
      <alignment horizontal="center" vertical="center"/>
      <protection locked="0"/>
    </xf>
    <xf numFmtId="2" fontId="9" fillId="3" borderId="1" xfId="0" applyNumberFormat="1" applyFont="1" applyFill="1" applyBorder="1" applyAlignment="1" applyProtection="1">
      <alignment horizontal="center" vertical="center"/>
      <protection locked="0"/>
    </xf>
    <xf numFmtId="10" fontId="11" fillId="5" borderId="1" xfId="0" applyNumberFormat="1" applyFont="1" applyFill="1" applyBorder="1" applyAlignment="1" applyProtection="1">
      <alignment horizontal="center" vertical="center"/>
      <protection locked="0"/>
    </xf>
    <xf numFmtId="164" fontId="9" fillId="3" borderId="1" xfId="0" applyNumberFormat="1" applyFont="1" applyFill="1" applyBorder="1" applyAlignment="1" applyProtection="1">
      <alignment horizontal="center" vertical="center"/>
      <protection locked="0"/>
    </xf>
    <xf numFmtId="3" fontId="11" fillId="5" borderId="1" xfId="0" applyNumberFormat="1" applyFont="1" applyFill="1" applyBorder="1" applyAlignment="1" applyProtection="1">
      <alignment horizontal="center" vertical="center"/>
      <protection locked="0"/>
    </xf>
    <xf numFmtId="3" fontId="9" fillId="3" borderId="1" xfId="0" applyNumberFormat="1" applyFont="1" applyFill="1" applyBorder="1" applyAlignment="1" applyProtection="1">
      <alignment horizontal="center" vertical="center"/>
      <protection locked="0"/>
    </xf>
    <xf numFmtId="0" fontId="13" fillId="9" borderId="0" xfId="0" applyFont="1" applyFill="1" applyAlignment="1">
      <alignment horizontal="center" vertical="center"/>
    </xf>
    <xf numFmtId="16" fontId="13" fillId="9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10" fontId="13" fillId="9" borderId="0" xfId="0" applyNumberFormat="1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15" fillId="5" borderId="0" xfId="0" applyFont="1" applyFill="1" applyAlignment="1" applyProtection="1">
      <alignment horizontal="center" vertical="center"/>
      <protection locked="0"/>
    </xf>
    <xf numFmtId="0" fontId="13" fillId="9" borderId="0" xfId="0" applyFont="1" applyFill="1" applyAlignment="1" applyProtection="1">
      <alignment horizontal="center" vertical="center"/>
      <protection locked="0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vertical="center"/>
    </xf>
    <xf numFmtId="3" fontId="16" fillId="0" borderId="0" xfId="0" applyNumberFormat="1" applyFont="1"/>
    <xf numFmtId="44" fontId="16" fillId="0" borderId="0" xfId="0" applyNumberFormat="1" applyFont="1"/>
    <xf numFmtId="14" fontId="16" fillId="0" borderId="0" xfId="0" applyNumberFormat="1" applyFont="1"/>
    <xf numFmtId="167" fontId="19" fillId="0" borderId="0" xfId="0" applyNumberFormat="1" applyFont="1"/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16" fillId="0" borderId="15" xfId="0" applyFont="1" applyBorder="1" applyAlignment="1">
      <alignment horizontal="center" vertical="center" wrapText="1"/>
    </xf>
    <xf numFmtId="3" fontId="16" fillId="10" borderId="15" xfId="0" applyNumberFormat="1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vertical="center" wrapText="1"/>
    </xf>
    <xf numFmtId="0" fontId="22" fillId="12" borderId="15" xfId="0" applyFont="1" applyFill="1" applyBorder="1" applyAlignment="1">
      <alignment horizontal="center" vertical="center" wrapText="1"/>
    </xf>
    <xf numFmtId="0" fontId="16" fillId="12" borderId="15" xfId="0" applyFont="1" applyFill="1" applyBorder="1" applyAlignment="1">
      <alignment vertical="center" wrapText="1"/>
    </xf>
    <xf numFmtId="0" fontId="16" fillId="0" borderId="0" xfId="0" applyFont="1" applyAlignment="1">
      <alignment horizontal="left" vertical="center"/>
    </xf>
    <xf numFmtId="0" fontId="24" fillId="0" borderId="7" xfId="0" applyFont="1" applyBorder="1" applyAlignment="1">
      <alignment wrapText="1"/>
    </xf>
    <xf numFmtId="0" fontId="24" fillId="0" borderId="6" xfId="0" applyFont="1" applyBorder="1" applyAlignment="1">
      <alignment wrapText="1"/>
    </xf>
    <xf numFmtId="0" fontId="25" fillId="13" borderId="7" xfId="0" applyFont="1" applyFill="1" applyBorder="1" applyAlignment="1">
      <alignment horizontal="center" vertical="center" wrapText="1"/>
    </xf>
    <xf numFmtId="0" fontId="16" fillId="0" borderId="15" xfId="0" applyFont="1" applyBorder="1"/>
    <xf numFmtId="0" fontId="25" fillId="0" borderId="0" xfId="0" applyFont="1"/>
    <xf numFmtId="0" fontId="0" fillId="12" borderId="8" xfId="0" applyFill="1" applyBorder="1"/>
    <xf numFmtId="0" fontId="0" fillId="12" borderId="10" xfId="0" applyFill="1" applyBorder="1" applyAlignment="1">
      <alignment vertical="center"/>
    </xf>
    <xf numFmtId="0" fontId="0" fillId="12" borderId="10" xfId="0" applyFill="1" applyBorder="1"/>
    <xf numFmtId="0" fontId="0" fillId="12" borderId="10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0" xfId="0" applyFill="1"/>
    <xf numFmtId="0" fontId="0" fillId="12" borderId="16" xfId="0" applyFill="1" applyBorder="1" applyAlignment="1">
      <alignment wrapText="1"/>
    </xf>
    <xf numFmtId="0" fontId="0" fillId="12" borderId="0" xfId="0" applyFill="1" applyAlignment="1">
      <alignment vertical="center" wrapText="1"/>
    </xf>
    <xf numFmtId="0" fontId="0" fillId="12" borderId="0" xfId="0" applyFill="1" applyAlignment="1">
      <alignment wrapText="1"/>
    </xf>
    <xf numFmtId="0" fontId="0" fillId="12" borderId="0" xfId="0" applyFill="1" applyAlignment="1">
      <alignment horizontal="center" vertical="center" wrapText="1"/>
    </xf>
    <xf numFmtId="0" fontId="0" fillId="12" borderId="17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0" fillId="12" borderId="0" xfId="0" applyFont="1" applyFill="1" applyAlignment="1">
      <alignment horizontal="center" vertical="center" wrapText="1"/>
    </xf>
    <xf numFmtId="14" fontId="0" fillId="12" borderId="0" xfId="0" applyNumberFormat="1" applyFill="1" applyAlignment="1">
      <alignment horizontal="center" vertical="center" wrapText="1"/>
    </xf>
    <xf numFmtId="0" fontId="14" fillId="15" borderId="22" xfId="0" applyFont="1" applyFill="1" applyBorder="1" applyAlignment="1">
      <alignment vertical="center" wrapText="1"/>
    </xf>
    <xf numFmtId="0" fontId="14" fillId="15" borderId="20" xfId="0" applyFont="1" applyFill="1" applyBorder="1" applyAlignment="1">
      <alignment horizontal="center" vertical="center" wrapText="1"/>
    </xf>
    <xf numFmtId="0" fontId="14" fillId="14" borderId="15" xfId="0" applyFont="1" applyFill="1" applyBorder="1" applyAlignment="1">
      <alignment horizontal="center" vertical="center" wrapText="1"/>
    </xf>
    <xf numFmtId="0" fontId="14" fillId="15" borderId="26" xfId="0" applyFont="1" applyFill="1" applyBorder="1" applyAlignment="1">
      <alignment vertical="center" wrapText="1"/>
    </xf>
    <xf numFmtId="0" fontId="14" fillId="15" borderId="24" xfId="0" applyFont="1" applyFill="1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0" fillId="15" borderId="15" xfId="0" applyFill="1" applyBorder="1" applyAlignment="1">
      <alignment wrapText="1"/>
    </xf>
    <xf numFmtId="20" fontId="14" fillId="15" borderId="8" xfId="0" applyNumberFormat="1" applyFont="1" applyFill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35" fillId="0" borderId="15" xfId="0" applyFont="1" applyBorder="1" applyAlignment="1">
      <alignment vertical="center" wrapText="1"/>
    </xf>
    <xf numFmtId="0" fontId="36" fillId="0" borderId="15" xfId="0" applyFont="1" applyBorder="1" applyAlignment="1">
      <alignment horizontal="center" vertical="center" wrapText="1"/>
    </xf>
    <xf numFmtId="0" fontId="36" fillId="0" borderId="15" xfId="0" applyFont="1" applyBorder="1" applyAlignment="1">
      <alignment vertical="center" wrapText="1"/>
    </xf>
    <xf numFmtId="0" fontId="37" fillId="0" borderId="15" xfId="0" applyFont="1" applyBorder="1" applyAlignment="1">
      <alignment horizontal="center" vertical="center" wrapText="1"/>
    </xf>
    <xf numFmtId="20" fontId="34" fillId="15" borderId="16" xfId="0" applyNumberFormat="1" applyFont="1" applyFill="1" applyBorder="1" applyAlignment="1">
      <alignment horizontal="center" vertical="center" wrapText="1"/>
    </xf>
    <xf numFmtId="20" fontId="34" fillId="15" borderId="11" xfId="0" applyNumberFormat="1" applyFont="1" applyFill="1" applyBorder="1" applyAlignment="1">
      <alignment horizontal="center" vertical="center" wrapText="1"/>
    </xf>
    <xf numFmtId="0" fontId="37" fillId="0" borderId="15" xfId="0" applyFont="1" applyBorder="1" applyAlignment="1">
      <alignment vertical="center" wrapText="1"/>
    </xf>
    <xf numFmtId="0" fontId="38" fillId="14" borderId="15" xfId="0" applyFont="1" applyFill="1" applyBorder="1" applyAlignment="1">
      <alignment wrapText="1"/>
    </xf>
    <xf numFmtId="0" fontId="38" fillId="14" borderId="15" xfId="0" applyFont="1" applyFill="1" applyBorder="1" applyAlignment="1">
      <alignment horizontal="center" vertical="center" wrapText="1"/>
    </xf>
    <xf numFmtId="0" fontId="38" fillId="12" borderId="0" xfId="0" applyFont="1" applyFill="1"/>
    <xf numFmtId="0" fontId="38" fillId="0" borderId="0" xfId="0" applyFont="1"/>
    <xf numFmtId="0" fontId="39" fillId="12" borderId="0" xfId="0" applyFont="1" applyFill="1"/>
    <xf numFmtId="0" fontId="14" fillId="12" borderId="0" xfId="0" applyFont="1" applyFill="1"/>
    <xf numFmtId="0" fontId="0" fillId="12" borderId="0" xfId="0" applyFill="1" applyAlignment="1">
      <alignment vertic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15" borderId="0" xfId="0" applyFill="1"/>
    <xf numFmtId="0" fontId="0" fillId="0" borderId="0" xfId="0" applyAlignment="1">
      <alignment horizontal="center" vertical="center"/>
    </xf>
    <xf numFmtId="4" fontId="9" fillId="3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Font="1" applyAlignment="1">
      <alignment horizontal="left" vertical="top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9" fontId="40" fillId="7" borderId="30" xfId="0" applyNumberFormat="1" applyFont="1" applyFill="1" applyBorder="1" applyAlignment="1" applyProtection="1">
      <alignment horizontal="center"/>
      <protection locked="0"/>
    </xf>
    <xf numFmtId="9" fontId="40" fillId="7" borderId="31" xfId="0" applyNumberFormat="1" applyFont="1" applyFill="1" applyBorder="1" applyAlignment="1" applyProtection="1">
      <alignment horizontal="center"/>
      <protection locked="0"/>
    </xf>
    <xf numFmtId="0" fontId="15" fillId="5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left"/>
    </xf>
    <xf numFmtId="0" fontId="25" fillId="0" borderId="7" xfId="0" applyFont="1" applyBorder="1" applyAlignment="1">
      <alignment horizontal="left"/>
    </xf>
    <xf numFmtId="0" fontId="25" fillId="0" borderId="6" xfId="0" applyFont="1" applyBorder="1" applyAlignment="1">
      <alignment horizontal="left"/>
    </xf>
    <xf numFmtId="0" fontId="25" fillId="13" borderId="5" xfId="0" applyFont="1" applyFill="1" applyBorder="1" applyAlignment="1">
      <alignment horizontal="center" vertical="center"/>
    </xf>
    <xf numFmtId="0" fontId="25" fillId="13" borderId="7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 wrapText="1"/>
    </xf>
    <xf numFmtId="0" fontId="25" fillId="13" borderId="7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wrapText="1"/>
    </xf>
    <xf numFmtId="0" fontId="25" fillId="0" borderId="7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left" vertical="center" wrapText="1"/>
    </xf>
    <xf numFmtId="0" fontId="25" fillId="0" borderId="5" xfId="0" applyFont="1" applyBorder="1" applyAlignment="1">
      <alignment vertical="center"/>
    </xf>
    <xf numFmtId="0" fontId="25" fillId="0" borderId="7" xfId="0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25" fillId="0" borderId="5" xfId="0" applyFont="1" applyBorder="1" applyAlignment="1">
      <alignment vertical="center" wrapText="1"/>
    </xf>
    <xf numFmtId="0" fontId="25" fillId="0" borderId="7" xfId="0" applyFont="1" applyBorder="1" applyAlignment="1">
      <alignment vertical="center" wrapText="1"/>
    </xf>
    <xf numFmtId="0" fontId="25" fillId="0" borderId="6" xfId="0" applyFont="1" applyBorder="1" applyAlignment="1">
      <alignment vertical="center" wrapText="1"/>
    </xf>
    <xf numFmtId="0" fontId="16" fillId="0" borderId="5" xfId="0" applyFont="1" applyBorder="1" applyAlignment="1">
      <alignment horizontal="center" wrapText="1"/>
    </xf>
    <xf numFmtId="0" fontId="16" fillId="0" borderId="7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24" fillId="0" borderId="5" xfId="0" applyFont="1" applyBorder="1" applyAlignment="1">
      <alignment horizontal="center" wrapText="1"/>
    </xf>
    <xf numFmtId="0" fontId="24" fillId="0" borderId="7" xfId="0" applyFont="1" applyBorder="1" applyAlignment="1">
      <alignment horizontal="center" wrapText="1"/>
    </xf>
    <xf numFmtId="0" fontId="19" fillId="0" borderId="5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6" fillId="0" borderId="7" xfId="0" applyFont="1" applyBorder="1" applyAlignment="1">
      <alignment horizontal="center" wrapText="1"/>
    </xf>
    <xf numFmtId="0" fontId="16" fillId="0" borderId="6" xfId="0" applyFont="1" applyBorder="1" applyAlignment="1">
      <alignment horizontal="center" wrapText="1"/>
    </xf>
    <xf numFmtId="0" fontId="23" fillId="0" borderId="5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20" fontId="16" fillId="10" borderId="5" xfId="0" applyNumberFormat="1" applyFont="1" applyFill="1" applyBorder="1" applyAlignment="1">
      <alignment horizontal="center" vertical="center" wrapText="1"/>
    </xf>
    <xf numFmtId="20" fontId="16" fillId="10" borderId="6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/>
    </xf>
    <xf numFmtId="0" fontId="18" fillId="11" borderId="7" xfId="0" applyFont="1" applyFill="1" applyBorder="1" applyAlignment="1">
      <alignment horizontal="left" vertical="center"/>
    </xf>
    <xf numFmtId="0" fontId="16" fillId="10" borderId="13" xfId="0" applyFont="1" applyFill="1" applyBorder="1" applyAlignment="1">
      <alignment horizontal="center" vertical="center" wrapText="1"/>
    </xf>
    <xf numFmtId="0" fontId="16" fillId="10" borderId="14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/>
    </xf>
    <xf numFmtId="0" fontId="16" fillId="11" borderId="6" xfId="0" applyFont="1" applyFill="1" applyBorder="1" applyAlignment="1">
      <alignment horizontal="center"/>
    </xf>
    <xf numFmtId="0" fontId="16" fillId="11" borderId="7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6" fillId="11" borderId="7" xfId="0" applyFont="1" applyFill="1" applyBorder="1" applyAlignment="1">
      <alignment horizontal="center"/>
    </xf>
    <xf numFmtId="20" fontId="16" fillId="11" borderId="5" xfId="0" applyNumberFormat="1" applyFont="1" applyFill="1" applyBorder="1" applyAlignment="1">
      <alignment horizontal="center" vertical="center" wrapText="1"/>
    </xf>
    <xf numFmtId="20" fontId="16" fillId="11" borderId="6" xfId="0" applyNumberFormat="1" applyFont="1" applyFill="1" applyBorder="1" applyAlignment="1">
      <alignment horizontal="center" vertical="center" wrapText="1"/>
    </xf>
    <xf numFmtId="20" fontId="16" fillId="11" borderId="5" xfId="0" applyNumberFormat="1" applyFont="1" applyFill="1" applyBorder="1" applyAlignment="1">
      <alignment horizontal="center"/>
    </xf>
    <xf numFmtId="20" fontId="16" fillId="11" borderId="6" xfId="0" applyNumberFormat="1" applyFont="1" applyFill="1" applyBorder="1" applyAlignment="1">
      <alignment horizontal="center"/>
    </xf>
    <xf numFmtId="20" fontId="16" fillId="11" borderId="7" xfId="0" applyNumberFormat="1" applyFont="1" applyFill="1" applyBorder="1" applyAlignment="1">
      <alignment horizontal="center"/>
    </xf>
    <xf numFmtId="20" fontId="16" fillId="11" borderId="7" xfId="0" applyNumberFormat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20" fontId="16" fillId="0" borderId="5" xfId="0" applyNumberFormat="1" applyFont="1" applyBorder="1" applyAlignment="1">
      <alignment horizontal="center"/>
    </xf>
    <xf numFmtId="20" fontId="16" fillId="0" borderId="6" xfId="0" applyNumberFormat="1" applyFont="1" applyBorder="1" applyAlignment="1">
      <alignment horizontal="center"/>
    </xf>
    <xf numFmtId="20" fontId="16" fillId="0" borderId="7" xfId="0" applyNumberFormat="1" applyFont="1" applyBorder="1" applyAlignment="1">
      <alignment horizontal="center"/>
    </xf>
    <xf numFmtId="20" fontId="16" fillId="10" borderId="7" xfId="0" applyNumberFormat="1" applyFont="1" applyFill="1" applyBorder="1" applyAlignment="1">
      <alignment horizontal="center" vertical="center" wrapText="1"/>
    </xf>
    <xf numFmtId="3" fontId="16" fillId="10" borderId="8" xfId="0" applyNumberFormat="1" applyFont="1" applyFill="1" applyBorder="1" applyAlignment="1">
      <alignment horizontal="left" vertical="center" wrapText="1"/>
    </xf>
    <xf numFmtId="3" fontId="16" fillId="10" borderId="9" xfId="0" applyNumberFormat="1" applyFont="1" applyFill="1" applyBorder="1" applyAlignment="1">
      <alignment horizontal="left" vertical="center" wrapText="1"/>
    </xf>
    <xf numFmtId="3" fontId="16" fillId="10" borderId="11" xfId="0" applyNumberFormat="1" applyFont="1" applyFill="1" applyBorder="1" applyAlignment="1">
      <alignment horizontal="left" vertical="center" wrapText="1"/>
    </xf>
    <xf numFmtId="3" fontId="16" fillId="10" borderId="12" xfId="0" applyNumberFormat="1" applyFont="1" applyFill="1" applyBorder="1" applyAlignment="1">
      <alignment horizontal="left" vertical="center" wrapText="1"/>
    </xf>
    <xf numFmtId="3" fontId="16" fillId="10" borderId="10" xfId="0" applyNumberFormat="1" applyFont="1" applyFill="1" applyBorder="1" applyAlignment="1">
      <alignment horizontal="left" vertical="center" wrapText="1"/>
    </xf>
    <xf numFmtId="3" fontId="16" fillId="10" borderId="4" xfId="0" applyNumberFormat="1" applyFont="1" applyFill="1" applyBorder="1" applyAlignment="1">
      <alignment horizontal="left" vertical="center" wrapText="1"/>
    </xf>
    <xf numFmtId="0" fontId="20" fillId="0" borderId="5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vertical="center"/>
    </xf>
    <xf numFmtId="3" fontId="16" fillId="0" borderId="5" xfId="0" applyNumberFormat="1" applyFont="1" applyBorder="1" applyAlignment="1">
      <alignment horizontal="center"/>
    </xf>
    <xf numFmtId="3" fontId="16" fillId="0" borderId="6" xfId="0" applyNumberFormat="1" applyFont="1" applyBorder="1" applyAlignment="1">
      <alignment horizontal="center"/>
    </xf>
    <xf numFmtId="2" fontId="16" fillId="0" borderId="5" xfId="0" applyNumberFormat="1" applyFont="1" applyBorder="1" applyAlignment="1">
      <alignment horizontal="center"/>
    </xf>
    <xf numFmtId="2" fontId="16" fillId="0" borderId="6" xfId="0" applyNumberFormat="1" applyFont="1" applyBorder="1" applyAlignment="1">
      <alignment horizontal="center"/>
    </xf>
    <xf numFmtId="9" fontId="16" fillId="0" borderId="5" xfId="0" applyNumberFormat="1" applyFont="1" applyBorder="1" applyAlignment="1">
      <alignment horizontal="center"/>
    </xf>
    <xf numFmtId="9" fontId="16" fillId="0" borderId="6" xfId="0" applyNumberFormat="1" applyFont="1" applyBorder="1" applyAlignment="1">
      <alignment horizontal="center"/>
    </xf>
    <xf numFmtId="3" fontId="16" fillId="0" borderId="5" xfId="0" applyNumberFormat="1" applyFont="1" applyBorder="1" applyAlignment="1">
      <alignment horizontal="center" vertical="center" wrapText="1"/>
    </xf>
    <xf numFmtId="3" fontId="16" fillId="0" borderId="7" xfId="0" applyNumberFormat="1" applyFont="1" applyBorder="1" applyAlignment="1">
      <alignment horizontal="center" vertical="center" wrapText="1"/>
    </xf>
    <xf numFmtId="3" fontId="16" fillId="0" borderId="6" xfId="0" applyNumberFormat="1" applyFont="1" applyBorder="1" applyAlignment="1">
      <alignment horizontal="center" vertical="center" wrapText="1"/>
    </xf>
    <xf numFmtId="167" fontId="16" fillId="0" borderId="5" xfId="0" applyNumberFormat="1" applyFont="1" applyBorder="1" applyAlignment="1">
      <alignment horizontal="center"/>
    </xf>
    <xf numFmtId="167" fontId="16" fillId="0" borderId="6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8" fillId="0" borderId="4" xfId="0" applyFont="1" applyBorder="1" applyAlignment="1">
      <alignment horizontal="left"/>
    </xf>
    <xf numFmtId="0" fontId="37" fillId="0" borderId="5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35" fillId="0" borderId="15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32" fillId="0" borderId="8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20" fontId="33" fillId="0" borderId="8" xfId="0" applyNumberFormat="1" applyFont="1" applyBorder="1" applyAlignment="1">
      <alignment horizontal="center" vertical="center" wrapText="1"/>
    </xf>
    <xf numFmtId="20" fontId="33" fillId="0" borderId="9" xfId="0" applyNumberFormat="1" applyFont="1" applyBorder="1" applyAlignment="1">
      <alignment horizontal="center" vertical="center" wrapText="1"/>
    </xf>
    <xf numFmtId="20" fontId="33" fillId="0" borderId="11" xfId="0" applyNumberFormat="1" applyFont="1" applyBorder="1" applyAlignment="1">
      <alignment horizontal="center" vertical="center" wrapText="1"/>
    </xf>
    <xf numFmtId="20" fontId="33" fillId="0" borderId="12" xfId="0" applyNumberFormat="1" applyFont="1" applyBorder="1" applyAlignment="1">
      <alignment horizontal="center" vertical="center" wrapText="1"/>
    </xf>
    <xf numFmtId="20" fontId="14" fillId="0" borderId="13" xfId="0" applyNumberFormat="1" applyFont="1" applyBorder="1" applyAlignment="1">
      <alignment horizontal="center" vertical="center" wrapText="1"/>
    </xf>
    <xf numFmtId="20" fontId="14" fillId="0" borderId="29" xfId="0" applyNumberFormat="1" applyFont="1" applyBorder="1" applyAlignment="1">
      <alignment horizontal="center" vertical="center" wrapText="1"/>
    </xf>
    <xf numFmtId="20" fontId="14" fillId="0" borderId="14" xfId="0" applyNumberFormat="1" applyFont="1" applyBorder="1" applyAlignment="1">
      <alignment horizontal="center" vertical="center" wrapText="1"/>
    </xf>
    <xf numFmtId="20" fontId="34" fillId="15" borderId="15" xfId="0" applyNumberFormat="1" applyFont="1" applyFill="1" applyBorder="1" applyAlignment="1">
      <alignment horizontal="center" vertical="center" wrapText="1"/>
    </xf>
    <xf numFmtId="20" fontId="34" fillId="0" borderId="29" xfId="0" applyNumberFormat="1" applyFont="1" applyBorder="1" applyAlignment="1">
      <alignment horizontal="center" vertical="center" wrapText="1"/>
    </xf>
    <xf numFmtId="20" fontId="34" fillId="0" borderId="14" xfId="0" applyNumberFormat="1" applyFont="1" applyBorder="1" applyAlignment="1">
      <alignment horizontal="center" vertical="center" wrapText="1"/>
    </xf>
    <xf numFmtId="0" fontId="38" fillId="14" borderId="5" xfId="0" applyFont="1" applyFill="1" applyBorder="1" applyAlignment="1">
      <alignment horizontal="center" wrapText="1"/>
    </xf>
    <xf numFmtId="0" fontId="38" fillId="14" borderId="7" xfId="0" applyFont="1" applyFill="1" applyBorder="1" applyAlignment="1">
      <alignment horizontal="center" wrapText="1"/>
    </xf>
    <xf numFmtId="0" fontId="38" fillId="14" borderId="6" xfId="0" applyFont="1" applyFill="1" applyBorder="1" applyAlignment="1">
      <alignment horizontal="center" wrapText="1"/>
    </xf>
    <xf numFmtId="0" fontId="38" fillId="14" borderId="15" xfId="0" applyFont="1" applyFill="1" applyBorder="1" applyAlignment="1">
      <alignment horizontal="center" vertical="center" wrapText="1"/>
    </xf>
    <xf numFmtId="0" fontId="37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26" fillId="14" borderId="15" xfId="0" applyFont="1" applyFill="1" applyBorder="1" applyAlignment="1">
      <alignment horizontal="center" vertical="center" wrapText="1"/>
    </xf>
    <xf numFmtId="14" fontId="29" fillId="14" borderId="5" xfId="0" applyNumberFormat="1" applyFont="1" applyFill="1" applyBorder="1" applyAlignment="1">
      <alignment horizontal="center" vertical="center" wrapText="1"/>
    </xf>
    <xf numFmtId="14" fontId="29" fillId="14" borderId="6" xfId="0" applyNumberFormat="1" applyFont="1" applyFill="1" applyBorder="1" applyAlignment="1">
      <alignment horizontal="center" vertical="center" wrapText="1"/>
    </xf>
    <xf numFmtId="14" fontId="26" fillId="14" borderId="5" xfId="0" applyNumberFormat="1" applyFont="1" applyFill="1" applyBorder="1" applyAlignment="1">
      <alignment horizontal="center" vertical="center" wrapText="1"/>
    </xf>
    <xf numFmtId="14" fontId="26" fillId="14" borderId="7" xfId="0" applyNumberFormat="1" applyFont="1" applyFill="1" applyBorder="1" applyAlignment="1">
      <alignment horizontal="center" vertical="center" wrapText="1"/>
    </xf>
    <xf numFmtId="14" fontId="26" fillId="14" borderId="6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7" xfId="0" applyBorder="1" applyAlignment="1">
      <alignment horizontal="center" wrapText="1"/>
    </xf>
    <xf numFmtId="0" fontId="14" fillId="14" borderId="18" xfId="0" applyFont="1" applyFill="1" applyBorder="1" applyAlignment="1">
      <alignment horizontal="center" vertical="center" wrapText="1"/>
    </xf>
    <xf numFmtId="0" fontId="14" fillId="14" borderId="19" xfId="0" applyFont="1" applyFill="1" applyBorder="1" applyAlignment="1">
      <alignment horizontal="center" vertical="center" wrapText="1"/>
    </xf>
    <xf numFmtId="0" fontId="14" fillId="14" borderId="20" xfId="0" applyFont="1" applyFill="1" applyBorder="1" applyAlignment="1">
      <alignment horizontal="center" vertical="center" wrapText="1"/>
    </xf>
    <xf numFmtId="0" fontId="14" fillId="14" borderId="21" xfId="0" applyFont="1" applyFill="1" applyBorder="1" applyAlignment="1">
      <alignment horizontal="center" vertical="center" wrapText="1"/>
    </xf>
    <xf numFmtId="0" fontId="14" fillId="14" borderId="24" xfId="0" applyFont="1" applyFill="1" applyBorder="1" applyAlignment="1">
      <alignment horizontal="center" vertical="center" wrapText="1"/>
    </xf>
    <xf numFmtId="0" fontId="14" fillId="14" borderId="25" xfId="0" applyFont="1" applyFill="1" applyBorder="1" applyAlignment="1">
      <alignment horizontal="center" vertical="center" wrapText="1"/>
    </xf>
    <xf numFmtId="0" fontId="14" fillId="14" borderId="23" xfId="0" applyFont="1" applyFill="1" applyBorder="1" applyAlignment="1">
      <alignment horizontal="center" vertical="center" wrapText="1"/>
    </xf>
    <xf numFmtId="0" fontId="14" fillId="14" borderId="27" xfId="0" applyFont="1" applyFill="1" applyBorder="1" applyAlignment="1">
      <alignment horizontal="center" vertical="center" wrapText="1"/>
    </xf>
    <xf numFmtId="0" fontId="14" fillId="14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7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65842</xdr:colOff>
      <xdr:row>0</xdr:row>
      <xdr:rowOff>99042</xdr:rowOff>
    </xdr:from>
    <xdr:to>
      <xdr:col>26</xdr:col>
      <xdr:colOff>1388198</xdr:colOff>
      <xdr:row>3</xdr:row>
      <xdr:rowOff>395059</xdr:rowOff>
    </xdr:to>
    <xdr:pic>
      <xdr:nvPicPr>
        <xdr:cNvPr id="2" name="Picture 34" descr="Logo black">
          <a:extLst>
            <a:ext uri="{FF2B5EF4-FFF2-40B4-BE49-F238E27FC236}">
              <a16:creationId xmlns:a16="http://schemas.microsoft.com/office/drawing/2014/main" id="{C61B6C80-4497-4CEE-B4D8-2DECA8D77BA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26282" y="99042"/>
          <a:ext cx="2705067" cy="11355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336431</xdr:colOff>
      <xdr:row>0</xdr:row>
      <xdr:rowOff>161042</xdr:rowOff>
    </xdr:from>
    <xdr:to>
      <xdr:col>1</xdr:col>
      <xdr:colOff>1596702</xdr:colOff>
      <xdr:row>3</xdr:row>
      <xdr:rowOff>510285</xdr:rowOff>
    </xdr:to>
    <xdr:pic>
      <xdr:nvPicPr>
        <xdr:cNvPr id="3" name="O 2">
          <a:extLst>
            <a:ext uri="{FF2B5EF4-FFF2-40B4-BE49-F238E27FC236}">
              <a16:creationId xmlns:a16="http://schemas.microsoft.com/office/drawing/2014/main" id="{E537D089-BE51-4B8A-BEF7-7B9795CB7006}"/>
            </a:ext>
          </a:extLst>
        </xdr:cNvPr>
        <xdr:cNvPicPr/>
      </xdr:nvPicPr>
      <xdr:blipFill>
        <a:blip xmlns:r="http://schemas.openxmlformats.org/officeDocument/2006/relationships" r:embed="rId2"/>
        <a:srcRect l="-15282" t="-1433" r="-15694" b="-4013"/>
        <a:stretch>
          <a:fillRect/>
        </a:stretch>
      </xdr:blipFill>
      <xdr:spPr bwMode="auto">
        <a:xfrm>
          <a:off x="435196" y="161042"/>
          <a:ext cx="1260271" cy="11887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6A30-D97C-4171-BAA9-1DFCC63FC363}">
  <sheetPr>
    <pageSetUpPr fitToPage="1"/>
  </sheetPr>
  <dimension ref="A2:K35"/>
  <sheetViews>
    <sheetView zoomScale="55" zoomScaleNormal="55" workbookViewId="0">
      <selection activeCell="J27" sqref="J27"/>
    </sheetView>
  </sheetViews>
  <sheetFormatPr defaultRowHeight="15"/>
  <cols>
    <col min="1" max="1" width="3" style="1" customWidth="1"/>
    <col min="2" max="2" width="31.6640625" style="1" customWidth="1"/>
    <col min="3" max="3" width="36.5546875" style="1" customWidth="1"/>
    <col min="4" max="6" width="31.6640625" style="1" customWidth="1"/>
    <col min="7" max="7" width="3.33203125" customWidth="1"/>
    <col min="8" max="10" width="26" customWidth="1"/>
    <col min="11" max="11" width="22.33203125" customWidth="1"/>
  </cols>
  <sheetData>
    <row r="2" spans="1:11" s="35" customFormat="1" ht="21.6" customHeight="1">
      <c r="A2" s="34"/>
      <c r="B2" s="128" t="s">
        <v>0</v>
      </c>
      <c r="C2" s="128"/>
      <c r="D2" s="128"/>
      <c r="E2" s="128"/>
      <c r="F2" s="34"/>
      <c r="H2" s="128" t="s">
        <v>30</v>
      </c>
      <c r="I2" s="128"/>
      <c r="J2" s="128"/>
      <c r="K2" s="128"/>
    </row>
    <row r="3" spans="1:11" ht="20.399999999999999">
      <c r="B3" s="5"/>
      <c r="C3" s="5"/>
      <c r="D3" s="5"/>
      <c r="E3" s="5"/>
    </row>
    <row r="4" spans="1:11" ht="26.4" customHeight="1">
      <c r="B4" s="7" t="s">
        <v>2</v>
      </c>
      <c r="C4" s="49">
        <v>31</v>
      </c>
      <c r="D4" s="8"/>
      <c r="E4" s="8"/>
      <c r="F4" s="8"/>
      <c r="H4" s="27" t="s">
        <v>26</v>
      </c>
      <c r="I4" s="28">
        <v>2025</v>
      </c>
      <c r="J4" s="28">
        <v>2026</v>
      </c>
      <c r="K4" s="29"/>
    </row>
    <row r="5" spans="1:11" ht="26.4" customHeight="1">
      <c r="B5" s="9" t="s">
        <v>3</v>
      </c>
      <c r="C5" s="41">
        <v>16</v>
      </c>
      <c r="D5" s="8"/>
      <c r="E5" s="8"/>
      <c r="F5" s="8"/>
      <c r="H5" s="10" t="s">
        <v>4</v>
      </c>
      <c r="I5" s="37">
        <v>699546</v>
      </c>
      <c r="J5" s="37">
        <v>540298</v>
      </c>
      <c r="K5" s="29"/>
    </row>
    <row r="6" spans="1:11" ht="26.4" customHeight="1">
      <c r="B6" s="8"/>
      <c r="C6" s="8"/>
      <c r="D6" s="8"/>
      <c r="E6" s="8"/>
      <c r="F6" s="8"/>
      <c r="H6" s="30" t="s">
        <v>19</v>
      </c>
      <c r="I6" s="131">
        <f>J5/I5-1</f>
        <v>-0.22764478676169975</v>
      </c>
      <c r="J6" s="132"/>
      <c r="K6" s="29"/>
    </row>
    <row r="7" spans="1:11" ht="26.4" customHeight="1">
      <c r="B7" s="129" t="s">
        <v>32</v>
      </c>
      <c r="C7" s="130"/>
      <c r="D7" s="8"/>
      <c r="E7" s="129" t="s">
        <v>33</v>
      </c>
      <c r="F7" s="130"/>
      <c r="H7" s="27" t="s">
        <v>27</v>
      </c>
      <c r="I7" s="28">
        <v>2025</v>
      </c>
      <c r="J7" s="28">
        <v>2026</v>
      </c>
      <c r="K7" s="29"/>
    </row>
    <row r="8" spans="1:11" ht="26.4" customHeight="1">
      <c r="B8" s="10" t="s">
        <v>4</v>
      </c>
      <c r="C8" s="37">
        <v>3000000</v>
      </c>
      <c r="D8" s="8"/>
      <c r="E8" s="10" t="s">
        <v>4</v>
      </c>
      <c r="F8" s="11">
        <f>C8/C$4</f>
        <v>96774.193548387091</v>
      </c>
      <c r="H8" s="10" t="s">
        <v>4</v>
      </c>
      <c r="I8" s="37">
        <v>809639</v>
      </c>
      <c r="J8" s="37">
        <v>792644</v>
      </c>
      <c r="K8" s="29"/>
    </row>
    <row r="9" spans="1:11" ht="26.4" customHeight="1">
      <c r="B9" s="12" t="s">
        <v>5</v>
      </c>
      <c r="C9" s="50">
        <v>1.8</v>
      </c>
      <c r="D9" s="8"/>
      <c r="E9" s="12" t="s">
        <v>5</v>
      </c>
      <c r="F9" s="13">
        <f>C9</f>
        <v>1.8</v>
      </c>
      <c r="H9" s="30" t="s">
        <v>19</v>
      </c>
      <c r="I9" s="131">
        <f>J8/I8-1</f>
        <v>-2.0990836656830991E-2</v>
      </c>
      <c r="J9" s="132"/>
      <c r="K9" s="29"/>
    </row>
    <row r="10" spans="1:11" ht="26.4" customHeight="1">
      <c r="B10" s="10" t="s">
        <v>6</v>
      </c>
      <c r="C10" s="51">
        <v>7.0000000000000007E-2</v>
      </c>
      <c r="D10" s="8"/>
      <c r="E10" s="10" t="s">
        <v>6</v>
      </c>
      <c r="F10" s="14">
        <f>C10</f>
        <v>7.0000000000000007E-2</v>
      </c>
      <c r="H10" s="27" t="s">
        <v>28</v>
      </c>
      <c r="I10" s="28">
        <v>2025</v>
      </c>
      <c r="J10" s="28">
        <v>2026</v>
      </c>
      <c r="K10" s="29"/>
    </row>
    <row r="11" spans="1:11" ht="26.4" customHeight="1">
      <c r="B11" s="12" t="s">
        <v>7</v>
      </c>
      <c r="C11" s="52">
        <v>2565</v>
      </c>
      <c r="D11" s="8"/>
      <c r="E11" s="12" t="s">
        <v>7</v>
      </c>
      <c r="F11" s="15">
        <f>C11</f>
        <v>2565</v>
      </c>
      <c r="H11" s="10" t="s">
        <v>4</v>
      </c>
      <c r="I11" s="37">
        <v>45779</v>
      </c>
      <c r="J11" s="37">
        <v>57013</v>
      </c>
      <c r="K11" s="29"/>
    </row>
    <row r="12" spans="1:11" ht="26.4" customHeight="1">
      <c r="B12" s="10" t="s">
        <v>8</v>
      </c>
      <c r="C12" s="53">
        <v>585</v>
      </c>
      <c r="D12" s="8"/>
      <c r="E12" s="10" t="s">
        <v>8</v>
      </c>
      <c r="F12" s="16">
        <f>C12/C$4</f>
        <v>18.870967741935484</v>
      </c>
      <c r="H12" s="30" t="s">
        <v>19</v>
      </c>
      <c r="I12" s="131">
        <f>J11/I11-1</f>
        <v>0.24539636077677529</v>
      </c>
      <c r="J12" s="132"/>
      <c r="K12" s="29"/>
    </row>
    <row r="13" spans="1:11" ht="26.4" customHeight="1">
      <c r="B13" s="12" t="s">
        <v>9</v>
      </c>
      <c r="C13" s="54">
        <v>1170</v>
      </c>
      <c r="D13" s="8"/>
      <c r="E13" s="12" t="s">
        <v>9</v>
      </c>
      <c r="F13" s="17">
        <f>C13/C$4</f>
        <v>37.741935483870968</v>
      </c>
      <c r="H13" s="29"/>
      <c r="I13" s="29"/>
      <c r="J13" s="29"/>
      <c r="K13" s="29"/>
    </row>
    <row r="14" spans="1:11" ht="26.4" customHeight="1">
      <c r="B14" s="10" t="s">
        <v>1</v>
      </c>
      <c r="C14" s="53">
        <v>8566</v>
      </c>
      <c r="D14" s="8"/>
      <c r="E14" s="10" t="s">
        <v>1</v>
      </c>
      <c r="F14" s="16">
        <f>C14/C$4</f>
        <v>276.32258064516128</v>
      </c>
      <c r="H14" s="27" t="s">
        <v>31</v>
      </c>
      <c r="I14" s="28">
        <v>2025</v>
      </c>
      <c r="J14" s="28">
        <v>2026</v>
      </c>
      <c r="K14" s="31" t="s">
        <v>19</v>
      </c>
    </row>
    <row r="15" spans="1:11" ht="26.4" customHeight="1">
      <c r="B15" s="8"/>
      <c r="C15" s="8"/>
      <c r="D15" s="8"/>
      <c r="E15" s="8"/>
      <c r="F15" s="8"/>
      <c r="H15" s="32" t="s">
        <v>21</v>
      </c>
      <c r="I15" s="38">
        <v>1039498</v>
      </c>
      <c r="J15" s="38">
        <v>990446</v>
      </c>
      <c r="K15" s="26">
        <f>J15/I15-1</f>
        <v>-4.718816197818565E-2</v>
      </c>
    </row>
    <row r="16" spans="1:11" ht="26.4" customHeight="1" thickBot="1">
      <c r="B16" s="18" t="s">
        <v>10</v>
      </c>
      <c r="C16" s="18" t="s">
        <v>11</v>
      </c>
      <c r="D16" s="42" t="s">
        <v>12</v>
      </c>
      <c r="E16" s="18" t="s">
        <v>13</v>
      </c>
      <c r="F16" s="18" t="s">
        <v>14</v>
      </c>
      <c r="H16" s="9" t="s">
        <v>22</v>
      </c>
      <c r="I16" s="39">
        <v>249963</v>
      </c>
      <c r="J16" s="39">
        <v>249511</v>
      </c>
      <c r="K16" s="26">
        <f>J16/I16-1</f>
        <v>-1.8082676236083062E-3</v>
      </c>
    </row>
    <row r="17" spans="2:11" ht="26.4" customHeight="1">
      <c r="B17" s="10" t="s">
        <v>4</v>
      </c>
      <c r="C17" s="11">
        <f>F8*C$5</f>
        <v>1548387.0967741935</v>
      </c>
      <c r="D17" s="43">
        <v>1389956</v>
      </c>
      <c r="E17" s="11">
        <f t="shared" ref="E17:E23" si="0">D17-C17</f>
        <v>-158431.09677419346</v>
      </c>
      <c r="F17" s="14">
        <f>E17/C17</f>
        <v>-0.10232008333333328</v>
      </c>
      <c r="H17" s="32" t="s">
        <v>23</v>
      </c>
      <c r="I17" s="38">
        <v>19117</v>
      </c>
      <c r="J17" s="38">
        <v>8892</v>
      </c>
      <c r="K17" s="26">
        <f>J17/I17-1</f>
        <v>-0.53486425694408113</v>
      </c>
    </row>
    <row r="18" spans="2:11" ht="26.4" customHeight="1">
      <c r="B18" s="19" t="s">
        <v>5</v>
      </c>
      <c r="C18" s="20">
        <f>F9</f>
        <v>1.8</v>
      </c>
      <c r="D18" s="44">
        <v>1.64</v>
      </c>
      <c r="E18" s="20">
        <f t="shared" si="0"/>
        <v>-0.16000000000000014</v>
      </c>
      <c r="F18" s="21">
        <f>(D18-C18)/C18</f>
        <v>-8.8888888888888962E-2</v>
      </c>
      <c r="H18" s="9" t="s">
        <v>16</v>
      </c>
      <c r="I18" s="39">
        <v>265503</v>
      </c>
      <c r="J18" s="39">
        <v>149602</v>
      </c>
      <c r="K18" s="26">
        <f>J18/I18-1</f>
        <v>-0.43653367381912822</v>
      </c>
    </row>
    <row r="19" spans="2:11" ht="26.4" customHeight="1">
      <c r="B19" s="10" t="s">
        <v>6</v>
      </c>
      <c r="C19" s="14">
        <f>F10</f>
        <v>7.0000000000000007E-2</v>
      </c>
      <c r="D19" s="45">
        <v>6.5500000000000003E-2</v>
      </c>
      <c r="E19" s="14">
        <f t="shared" si="0"/>
        <v>-4.500000000000004E-3</v>
      </c>
      <c r="F19" s="14">
        <f>(D19-C19)/C19</f>
        <v>-6.4285714285714335E-2</v>
      </c>
      <c r="H19" s="32" t="s">
        <v>17</v>
      </c>
      <c r="I19" s="36">
        <f>SUM(I15:I18)</f>
        <v>1574081</v>
      </c>
      <c r="J19" s="36">
        <f>SUM(J15:J18)</f>
        <v>1398451</v>
      </c>
      <c r="K19" s="26">
        <f>J19/I19-1</f>
        <v>-0.1115762149470072</v>
      </c>
    </row>
    <row r="20" spans="2:11" ht="26.4" customHeight="1">
      <c r="B20" s="19" t="s">
        <v>7</v>
      </c>
      <c r="C20" s="22">
        <f>F11</f>
        <v>2565</v>
      </c>
      <c r="D20" s="46">
        <v>3971</v>
      </c>
      <c r="E20" s="22">
        <f t="shared" si="0"/>
        <v>1406</v>
      </c>
      <c r="F20" s="21">
        <f>(D20-C20)/C20</f>
        <v>0.54814814814814816</v>
      </c>
      <c r="K20" s="6"/>
    </row>
    <row r="21" spans="2:11" ht="26.4" customHeight="1">
      <c r="B21" s="10" t="s">
        <v>8</v>
      </c>
      <c r="C21" s="16">
        <f>F12*C$5</f>
        <v>301.93548387096774</v>
      </c>
      <c r="D21" s="47">
        <v>213</v>
      </c>
      <c r="E21" s="16">
        <f t="shared" si="0"/>
        <v>-88.935483870967744</v>
      </c>
      <c r="F21" s="14">
        <f>E21/C21</f>
        <v>-0.29455128205128206</v>
      </c>
      <c r="H21" s="128" t="s">
        <v>20</v>
      </c>
      <c r="I21" s="128"/>
      <c r="J21" s="128"/>
      <c r="K21" s="128"/>
    </row>
    <row r="22" spans="2:11" ht="26.4" customHeight="1">
      <c r="B22" s="19" t="s">
        <v>9</v>
      </c>
      <c r="C22" s="23">
        <f>F13*C$5</f>
        <v>603.87096774193549</v>
      </c>
      <c r="D22" s="48">
        <v>350</v>
      </c>
      <c r="E22" s="23">
        <f t="shared" si="0"/>
        <v>-253.87096774193549</v>
      </c>
      <c r="F22" s="21">
        <f>E22/C22</f>
        <v>-0.42040598290598291</v>
      </c>
    </row>
    <row r="23" spans="2:11" ht="26.4" customHeight="1">
      <c r="B23" s="10" t="s">
        <v>1</v>
      </c>
      <c r="C23" s="16">
        <f>F14*C$5</f>
        <v>4421.1612903225805</v>
      </c>
      <c r="D23" s="47">
        <v>3254</v>
      </c>
      <c r="E23" s="16">
        <f t="shared" si="0"/>
        <v>-1167.1612903225805</v>
      </c>
      <c r="F23" s="14">
        <f>E23/C23</f>
        <v>-0.26399427971048328</v>
      </c>
      <c r="H23" s="33">
        <f ca="1">TODAY()</f>
        <v>46312</v>
      </c>
      <c r="I23" s="28">
        <v>2025</v>
      </c>
      <c r="J23" s="28">
        <v>2026</v>
      </c>
    </row>
    <row r="24" spans="2:11" ht="26.4" customHeight="1">
      <c r="B24" s="8"/>
      <c r="C24" s="8"/>
      <c r="D24" s="8"/>
      <c r="E24" s="8"/>
      <c r="F24" s="8"/>
      <c r="H24" s="32" t="s">
        <v>25</v>
      </c>
      <c r="I24" s="40">
        <v>1560</v>
      </c>
      <c r="J24" s="40">
        <v>1498</v>
      </c>
    </row>
    <row r="25" spans="2:11" ht="26.4" customHeight="1">
      <c r="B25" s="24" t="s">
        <v>15</v>
      </c>
      <c r="C25" s="25">
        <f>(D17/C$5)*C$4</f>
        <v>2693039.75</v>
      </c>
      <c r="D25" s="8"/>
      <c r="E25" s="24" t="s">
        <v>29</v>
      </c>
      <c r="F25" s="26">
        <f>C25/C8</f>
        <v>0.89767991666666669</v>
      </c>
      <c r="H25" s="9" t="s">
        <v>24</v>
      </c>
      <c r="I25" s="41">
        <v>2500</v>
      </c>
      <c r="J25" s="127">
        <v>3370</v>
      </c>
    </row>
    <row r="26" spans="2:11" ht="26.4" customHeight="1">
      <c r="H26" s="32" t="s">
        <v>18</v>
      </c>
      <c r="I26" s="40">
        <v>289</v>
      </c>
      <c r="J26" s="40">
        <v>416</v>
      </c>
    </row>
    <row r="27" spans="2:11" ht="26.4" customHeight="1">
      <c r="H27" s="9" t="s">
        <v>17</v>
      </c>
      <c r="I27" s="9">
        <f>SUM(I24:I26)</f>
        <v>4349</v>
      </c>
      <c r="J27" s="9">
        <f>SUM(J24:J26)</f>
        <v>5284</v>
      </c>
    </row>
    <row r="35" spans="2:6">
      <c r="B35" s="4"/>
      <c r="C35" s="2"/>
      <c r="E35" s="4"/>
      <c r="F35" s="3"/>
    </row>
  </sheetData>
  <sheetProtection algorithmName="SHA-512" hashValue="s83MjvA7bEIPsmEN7l3pxHpEYP5BjRuUzN0EovYatuip3o0/uCNjcjT+pexSoaTTiRgrNjkkwZY9a3ZVpNUkHA==" saltValue="HcTVh1Wqzt7eBCYtlAWtaw==" spinCount="100000" sheet="1" objects="1" scenarios="1"/>
  <mergeCells count="8">
    <mergeCell ref="B2:E2"/>
    <mergeCell ref="B7:C7"/>
    <mergeCell ref="E7:F7"/>
    <mergeCell ref="H2:K2"/>
    <mergeCell ref="H21:K21"/>
    <mergeCell ref="I6:J6"/>
    <mergeCell ref="I9:J9"/>
    <mergeCell ref="I12:J12"/>
  </mergeCells>
  <conditionalFormatting sqref="D17">
    <cfRule type="cellIs" dxfId="77" priority="13" operator="lessThan">
      <formula>$C$17</formula>
    </cfRule>
    <cfRule type="cellIs" dxfId="76" priority="14" operator="greaterThan">
      <formula>$C$17</formula>
    </cfRule>
  </conditionalFormatting>
  <conditionalFormatting sqref="D18">
    <cfRule type="cellIs" dxfId="75" priority="11" operator="lessThan">
      <formula>$C$18</formula>
    </cfRule>
    <cfRule type="cellIs" dxfId="74" priority="12" operator="greaterThan">
      <formula>$C$18</formula>
    </cfRule>
  </conditionalFormatting>
  <conditionalFormatting sqref="D19">
    <cfRule type="cellIs" dxfId="73" priority="9" operator="lessThan">
      <formula>$C$19</formula>
    </cfRule>
    <cfRule type="cellIs" dxfId="72" priority="10" operator="greaterThan">
      <formula>$C$19</formula>
    </cfRule>
  </conditionalFormatting>
  <conditionalFormatting sqref="D20">
    <cfRule type="cellIs" dxfId="71" priority="7" operator="lessThan">
      <formula>$C$20</formula>
    </cfRule>
    <cfRule type="cellIs" dxfId="70" priority="8" operator="greaterThan">
      <formula>$C$20</formula>
    </cfRule>
  </conditionalFormatting>
  <conditionalFormatting sqref="D21">
    <cfRule type="cellIs" dxfId="69" priority="5" operator="lessThan">
      <formula>$C$21</formula>
    </cfRule>
    <cfRule type="cellIs" dxfId="68" priority="6" operator="greaterThan">
      <formula>$C$21</formula>
    </cfRule>
  </conditionalFormatting>
  <conditionalFormatting sqref="D22">
    <cfRule type="cellIs" dxfId="67" priority="3" operator="lessThan">
      <formula>$C$22</formula>
    </cfRule>
    <cfRule type="cellIs" dxfId="66" priority="4" operator="greaterThan">
      <formula>$C$22</formula>
    </cfRule>
  </conditionalFormatting>
  <conditionalFormatting sqref="D23">
    <cfRule type="cellIs" dxfId="65" priority="1" operator="lessThan">
      <formula>$C$23</formula>
    </cfRule>
    <cfRule type="cellIs" dxfId="64" priority="2" operator="greaterThan">
      <formula>$C$23</formula>
    </cfRule>
  </conditionalFormatting>
  <pageMargins left="0.7" right="0.7" top="0.75" bottom="0.75" header="0.3" footer="0.3"/>
  <pageSetup paperSize="9" scale="48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F1DB-C216-4C4D-96E9-4002D36C445D}">
  <sheetPr>
    <pageSetUpPr fitToPage="1"/>
  </sheetPr>
  <dimension ref="A1:U55"/>
  <sheetViews>
    <sheetView tabSelected="1" topLeftCell="A13" zoomScale="90" zoomScaleNormal="90" workbookViewId="0">
      <selection activeCell="F40" sqref="F40"/>
    </sheetView>
  </sheetViews>
  <sheetFormatPr defaultColWidth="8.88671875" defaultRowHeight="14.4"/>
  <cols>
    <col min="1" max="1" width="16.33203125" style="57" customWidth="1"/>
    <col min="2" max="2" width="16" style="57" customWidth="1"/>
    <col min="3" max="3" width="11" style="57" customWidth="1"/>
    <col min="4" max="4" width="11.109375" style="57" customWidth="1"/>
    <col min="5" max="10" width="8.88671875" style="57"/>
    <col min="11" max="11" width="10.109375" style="57" customWidth="1"/>
    <col min="12" max="14" width="16.109375" style="57" customWidth="1"/>
    <col min="15" max="15" width="1.88671875" style="57" customWidth="1"/>
    <col min="16" max="18" width="8.88671875" style="57"/>
    <col min="19" max="19" width="15" style="57" customWidth="1"/>
    <col min="20" max="20" width="13.88671875" style="57" customWidth="1"/>
    <col min="21" max="16384" width="8.88671875" style="57"/>
  </cols>
  <sheetData>
    <row r="1" spans="1:21">
      <c r="A1" s="55" t="s">
        <v>34</v>
      </c>
      <c r="B1" s="55" t="s">
        <v>35</v>
      </c>
      <c r="C1" s="55" t="s">
        <v>36</v>
      </c>
      <c r="D1" s="55" t="s">
        <v>37</v>
      </c>
      <c r="E1" s="56">
        <v>46296</v>
      </c>
      <c r="F1" s="56">
        <v>46297</v>
      </c>
      <c r="G1" s="56">
        <v>46298</v>
      </c>
      <c r="H1" s="56">
        <v>46299</v>
      </c>
      <c r="I1" s="56">
        <v>46300</v>
      </c>
      <c r="J1" s="56">
        <v>46301</v>
      </c>
      <c r="K1" s="56">
        <v>46302</v>
      </c>
      <c r="L1" s="55" t="s">
        <v>38</v>
      </c>
      <c r="M1" s="55" t="s">
        <v>52</v>
      </c>
      <c r="N1" s="55" t="s">
        <v>53</v>
      </c>
      <c r="P1" s="135" t="s">
        <v>55</v>
      </c>
      <c r="Q1" s="135"/>
      <c r="R1" s="135"/>
      <c r="S1" s="135"/>
      <c r="T1" s="135"/>
      <c r="U1" s="135"/>
    </row>
    <row r="2" spans="1:21">
      <c r="A2" s="133" t="s">
        <v>42</v>
      </c>
      <c r="B2" s="133" t="s">
        <v>43</v>
      </c>
      <c r="C2" s="60" t="s">
        <v>8</v>
      </c>
      <c r="D2" s="60">
        <v>85</v>
      </c>
      <c r="E2" s="63">
        <v>0</v>
      </c>
      <c r="F2" s="63">
        <v>6</v>
      </c>
      <c r="G2" s="63">
        <v>8</v>
      </c>
      <c r="H2" s="63">
        <v>8</v>
      </c>
      <c r="I2" s="63">
        <v>3</v>
      </c>
      <c r="J2" s="63">
        <v>2</v>
      </c>
      <c r="K2" s="63">
        <v>0</v>
      </c>
      <c r="L2" s="60">
        <f t="shared" ref="L2:L11" si="0">E2+F2+G2+H2+I2+J2+K2</f>
        <v>27</v>
      </c>
      <c r="M2" s="60">
        <v>22</v>
      </c>
      <c r="N2" s="61">
        <f t="shared" ref="N2:N13" si="1">L2/M2</f>
        <v>1.2272727272727273</v>
      </c>
      <c r="Q2" s="57" t="s">
        <v>8</v>
      </c>
      <c r="R2" s="57" t="s">
        <v>44</v>
      </c>
      <c r="S2" s="57" t="s">
        <v>56</v>
      </c>
      <c r="T2" s="57" t="s">
        <v>57</v>
      </c>
    </row>
    <row r="3" spans="1:21">
      <c r="A3" s="133"/>
      <c r="B3" s="133"/>
      <c r="C3" s="60" t="s">
        <v>44</v>
      </c>
      <c r="D3" s="60">
        <v>170</v>
      </c>
      <c r="E3" s="63">
        <v>0</v>
      </c>
      <c r="F3" s="63">
        <v>11</v>
      </c>
      <c r="G3" s="63">
        <v>14</v>
      </c>
      <c r="H3" s="63">
        <v>9</v>
      </c>
      <c r="I3" s="63">
        <v>4</v>
      </c>
      <c r="J3" s="63">
        <v>3</v>
      </c>
      <c r="K3" s="63">
        <v>0</v>
      </c>
      <c r="L3" s="60">
        <f t="shared" si="0"/>
        <v>41</v>
      </c>
      <c r="M3" s="60">
        <v>44</v>
      </c>
      <c r="N3" s="61">
        <f t="shared" si="1"/>
        <v>0.93181818181818177</v>
      </c>
      <c r="P3" s="57" t="s">
        <v>42</v>
      </c>
      <c r="Q3" s="57">
        <f>L2+L16+L30+L44</f>
        <v>57</v>
      </c>
      <c r="R3" s="57">
        <f>L3+L17+L31+L45</f>
        <v>91</v>
      </c>
      <c r="S3" s="58">
        <f>Q3/D2</f>
        <v>0.6705882352941176</v>
      </c>
      <c r="T3" s="58">
        <f>R3/D3</f>
        <v>0.53529411764705881</v>
      </c>
    </row>
    <row r="4" spans="1:21">
      <c r="A4" s="134" t="s">
        <v>45</v>
      </c>
      <c r="B4" s="134" t="s">
        <v>46</v>
      </c>
      <c r="C4" s="55" t="s">
        <v>8</v>
      </c>
      <c r="D4" s="55">
        <v>125</v>
      </c>
      <c r="E4" s="64">
        <v>0</v>
      </c>
      <c r="F4" s="64">
        <v>8</v>
      </c>
      <c r="G4" s="64">
        <v>3</v>
      </c>
      <c r="H4" s="64">
        <v>2</v>
      </c>
      <c r="I4" s="64">
        <v>1</v>
      </c>
      <c r="J4" s="64">
        <v>0</v>
      </c>
      <c r="K4" s="64">
        <v>0</v>
      </c>
      <c r="L4" s="55">
        <f t="shared" si="0"/>
        <v>14</v>
      </c>
      <c r="M4" s="55">
        <v>32</v>
      </c>
      <c r="N4" s="59">
        <f t="shared" si="1"/>
        <v>0.4375</v>
      </c>
      <c r="P4" s="57" t="s">
        <v>45</v>
      </c>
      <c r="Q4" s="57">
        <f>L4+L18+L32+L46</f>
        <v>46</v>
      </c>
      <c r="R4" s="57">
        <f>L5+L19+L33+L47</f>
        <v>69</v>
      </c>
      <c r="S4" s="58">
        <f>Q4/D3</f>
        <v>0.27058823529411763</v>
      </c>
      <c r="T4" s="58">
        <f>Q4/D5</f>
        <v>0.184</v>
      </c>
    </row>
    <row r="5" spans="1:21">
      <c r="A5" s="134"/>
      <c r="B5" s="134"/>
      <c r="C5" s="55" t="s">
        <v>44</v>
      </c>
      <c r="D5" s="55">
        <v>250</v>
      </c>
      <c r="E5" s="64">
        <v>0</v>
      </c>
      <c r="F5" s="64">
        <v>12</v>
      </c>
      <c r="G5" s="64">
        <v>5</v>
      </c>
      <c r="H5" s="64">
        <v>3</v>
      </c>
      <c r="I5" s="64">
        <v>1</v>
      </c>
      <c r="J5" s="64">
        <v>0</v>
      </c>
      <c r="K5" s="64">
        <v>0</v>
      </c>
      <c r="L5" s="55">
        <f t="shared" si="0"/>
        <v>21</v>
      </c>
      <c r="M5" s="55">
        <v>64</v>
      </c>
      <c r="N5" s="59">
        <f t="shared" si="1"/>
        <v>0.328125</v>
      </c>
      <c r="P5" s="57" t="s">
        <v>47</v>
      </c>
      <c r="Q5" s="57">
        <f>L6+L20+L34+L48</f>
        <v>51</v>
      </c>
      <c r="R5" s="57">
        <f>L7+L21+L35+L49</f>
        <v>70</v>
      </c>
      <c r="S5" s="58">
        <f>Q5/D6</f>
        <v>0.40799999999999997</v>
      </c>
      <c r="T5" s="58">
        <f>R5/D7</f>
        <v>0.28000000000000003</v>
      </c>
    </row>
    <row r="6" spans="1:21">
      <c r="A6" s="133" t="s">
        <v>47</v>
      </c>
      <c r="B6" s="133" t="s">
        <v>46</v>
      </c>
      <c r="C6" s="60" t="s">
        <v>8</v>
      </c>
      <c r="D6" s="60">
        <v>125</v>
      </c>
      <c r="E6" s="63">
        <v>9</v>
      </c>
      <c r="F6" s="63">
        <v>4</v>
      </c>
      <c r="G6" s="63">
        <v>3</v>
      </c>
      <c r="H6" s="63">
        <v>0</v>
      </c>
      <c r="I6" s="63">
        <v>0</v>
      </c>
      <c r="J6" s="63">
        <v>0</v>
      </c>
      <c r="K6" s="63">
        <v>3</v>
      </c>
      <c r="L6" s="60">
        <f t="shared" si="0"/>
        <v>19</v>
      </c>
      <c r="M6" s="60">
        <v>32</v>
      </c>
      <c r="N6" s="61">
        <f t="shared" si="1"/>
        <v>0.59375</v>
      </c>
      <c r="P6" s="57" t="s">
        <v>48</v>
      </c>
      <c r="Q6" s="57">
        <f>L8+L22+L36+L50</f>
        <v>41</v>
      </c>
      <c r="R6" s="57">
        <f>L9+L23+L37+L51</f>
        <v>77</v>
      </c>
      <c r="S6" s="58">
        <f>Q6/D8</f>
        <v>0.32800000000000001</v>
      </c>
      <c r="T6" s="58">
        <f>R6/D9</f>
        <v>0.308</v>
      </c>
    </row>
    <row r="7" spans="1:21">
      <c r="A7" s="133"/>
      <c r="B7" s="133"/>
      <c r="C7" s="60" t="s">
        <v>44</v>
      </c>
      <c r="D7" s="60">
        <v>250</v>
      </c>
      <c r="E7" s="63">
        <v>16</v>
      </c>
      <c r="F7" s="63">
        <v>4</v>
      </c>
      <c r="G7" s="63">
        <v>3</v>
      </c>
      <c r="H7" s="63">
        <v>0</v>
      </c>
      <c r="I7" s="63">
        <v>0</v>
      </c>
      <c r="J7" s="63">
        <v>0</v>
      </c>
      <c r="K7" s="63">
        <v>4</v>
      </c>
      <c r="L7" s="60">
        <f t="shared" si="0"/>
        <v>27</v>
      </c>
      <c r="M7" s="60">
        <v>64</v>
      </c>
      <c r="N7" s="61">
        <f t="shared" si="1"/>
        <v>0.421875</v>
      </c>
      <c r="P7" s="57" t="s">
        <v>49</v>
      </c>
      <c r="Q7" s="57">
        <f>L10+L24+L38+L52</f>
        <v>36</v>
      </c>
      <c r="R7" s="57">
        <f>L11+L25+L39+L53</f>
        <v>45</v>
      </c>
      <c r="S7" s="58">
        <f>Q7/D10</f>
        <v>0.28799999999999998</v>
      </c>
      <c r="T7" s="58">
        <f>Q7/D11</f>
        <v>0.14399999999999999</v>
      </c>
    </row>
    <row r="8" spans="1:21">
      <c r="A8" s="134" t="s">
        <v>48</v>
      </c>
      <c r="B8" s="134" t="s">
        <v>46</v>
      </c>
      <c r="C8" s="55" t="s">
        <v>8</v>
      </c>
      <c r="D8" s="55">
        <v>125</v>
      </c>
      <c r="E8" s="64">
        <v>2</v>
      </c>
      <c r="F8" s="64">
        <v>0</v>
      </c>
      <c r="G8" s="64">
        <v>1</v>
      </c>
      <c r="H8" s="64">
        <v>5</v>
      </c>
      <c r="I8" s="64">
        <v>2</v>
      </c>
      <c r="J8" s="64">
        <v>0</v>
      </c>
      <c r="K8" s="64">
        <v>3</v>
      </c>
      <c r="L8" s="55">
        <f t="shared" si="0"/>
        <v>13</v>
      </c>
      <c r="M8" s="55">
        <v>32</v>
      </c>
      <c r="N8" s="59">
        <f t="shared" si="1"/>
        <v>0.40625</v>
      </c>
    </row>
    <row r="9" spans="1:21">
      <c r="A9" s="134"/>
      <c r="B9" s="134"/>
      <c r="C9" s="55" t="s">
        <v>44</v>
      </c>
      <c r="D9" s="55">
        <v>250</v>
      </c>
      <c r="E9" s="64">
        <v>2</v>
      </c>
      <c r="F9" s="64">
        <v>0</v>
      </c>
      <c r="G9" s="64">
        <v>2</v>
      </c>
      <c r="H9" s="64">
        <v>10</v>
      </c>
      <c r="I9" s="64">
        <v>5</v>
      </c>
      <c r="J9" s="64">
        <v>0</v>
      </c>
      <c r="K9" s="64">
        <v>3</v>
      </c>
      <c r="L9" s="55">
        <f t="shared" si="0"/>
        <v>22</v>
      </c>
      <c r="M9" s="55">
        <v>64</v>
      </c>
      <c r="N9" s="59">
        <f t="shared" si="1"/>
        <v>0.34375</v>
      </c>
      <c r="P9" s="135" t="s">
        <v>58</v>
      </c>
      <c r="Q9" s="135"/>
      <c r="R9" s="135"/>
      <c r="S9" s="135"/>
      <c r="T9" s="135"/>
    </row>
    <row r="10" spans="1:21">
      <c r="A10" s="133" t="s">
        <v>49</v>
      </c>
      <c r="B10" s="133" t="s">
        <v>46</v>
      </c>
      <c r="C10" s="60" t="s">
        <v>8</v>
      </c>
      <c r="D10" s="60">
        <v>125</v>
      </c>
      <c r="E10" s="63">
        <v>0</v>
      </c>
      <c r="F10" s="63">
        <v>0</v>
      </c>
      <c r="G10" s="63">
        <v>3</v>
      </c>
      <c r="H10" s="63">
        <v>4</v>
      </c>
      <c r="I10" s="63">
        <v>4</v>
      </c>
      <c r="J10" s="63">
        <v>3</v>
      </c>
      <c r="K10" s="63">
        <v>1</v>
      </c>
      <c r="L10" s="60">
        <f t="shared" si="0"/>
        <v>15</v>
      </c>
      <c r="M10" s="60">
        <v>32</v>
      </c>
      <c r="N10" s="61">
        <f t="shared" si="1"/>
        <v>0.46875</v>
      </c>
      <c r="Q10" s="57" t="s">
        <v>8</v>
      </c>
      <c r="R10" s="57" t="s">
        <v>44</v>
      </c>
    </row>
    <row r="11" spans="1:21">
      <c r="A11" s="133"/>
      <c r="B11" s="133"/>
      <c r="C11" s="60" t="s">
        <v>44</v>
      </c>
      <c r="D11" s="60">
        <v>250</v>
      </c>
      <c r="E11" s="63">
        <v>0</v>
      </c>
      <c r="F11" s="63">
        <v>0</v>
      </c>
      <c r="G11" s="63">
        <v>3</v>
      </c>
      <c r="H11" s="63">
        <v>6</v>
      </c>
      <c r="I11" s="63">
        <v>2</v>
      </c>
      <c r="J11" s="63">
        <v>5</v>
      </c>
      <c r="K11" s="63">
        <v>3</v>
      </c>
      <c r="L11" s="60">
        <f t="shared" si="0"/>
        <v>19</v>
      </c>
      <c r="M11" s="60">
        <v>64</v>
      </c>
      <c r="N11" s="61">
        <f t="shared" si="1"/>
        <v>0.296875</v>
      </c>
      <c r="P11" s="57" t="s">
        <v>42</v>
      </c>
      <c r="Q11" s="62">
        <f>M2/6</f>
        <v>3.6666666666666665</v>
      </c>
      <c r="R11" s="62">
        <f>M3/6</f>
        <v>7.333333333333333</v>
      </c>
    </row>
    <row r="12" spans="1:21">
      <c r="A12" s="134" t="s">
        <v>50</v>
      </c>
      <c r="B12" s="134" t="s">
        <v>51</v>
      </c>
      <c r="C12" s="55" t="s">
        <v>8</v>
      </c>
      <c r="D12" s="55">
        <f t="shared" ref="D12:M12" si="2">D2+D4+D6+D8+D10</f>
        <v>585</v>
      </c>
      <c r="E12" s="55">
        <f t="shared" si="2"/>
        <v>11</v>
      </c>
      <c r="F12" s="55">
        <f t="shared" si="2"/>
        <v>18</v>
      </c>
      <c r="G12" s="55">
        <f t="shared" si="2"/>
        <v>18</v>
      </c>
      <c r="H12" s="55">
        <f t="shared" si="2"/>
        <v>19</v>
      </c>
      <c r="I12" s="55">
        <f t="shared" si="2"/>
        <v>10</v>
      </c>
      <c r="J12" s="55">
        <f t="shared" si="2"/>
        <v>5</v>
      </c>
      <c r="K12" s="55">
        <f t="shared" si="2"/>
        <v>7</v>
      </c>
      <c r="L12" s="55">
        <f t="shared" si="2"/>
        <v>88</v>
      </c>
      <c r="M12" s="55">
        <f t="shared" si="2"/>
        <v>150</v>
      </c>
      <c r="N12" s="59">
        <f t="shared" si="1"/>
        <v>0.58666666666666667</v>
      </c>
      <c r="P12" s="57" t="s">
        <v>45</v>
      </c>
      <c r="Q12" s="62">
        <f>M4/6</f>
        <v>5.333333333333333</v>
      </c>
      <c r="R12" s="62">
        <f>M5/6</f>
        <v>10.666666666666666</v>
      </c>
    </row>
    <row r="13" spans="1:21">
      <c r="A13" s="134"/>
      <c r="B13" s="134"/>
      <c r="C13" s="55" t="s">
        <v>44</v>
      </c>
      <c r="D13" s="55">
        <f>D3+D5+D7+D9+D11</f>
        <v>1170</v>
      </c>
      <c r="E13" s="55">
        <f>E3+E5+E7+E9+E11</f>
        <v>18</v>
      </c>
      <c r="F13" s="55">
        <f>F3+F5+F7+F9+F11</f>
        <v>27</v>
      </c>
      <c r="G13" s="55">
        <f t="shared" ref="G13:K13" si="3">G3+G5+G7+G9+G11</f>
        <v>27</v>
      </c>
      <c r="H13" s="55">
        <f t="shared" si="3"/>
        <v>28</v>
      </c>
      <c r="I13" s="55">
        <f t="shared" si="3"/>
        <v>12</v>
      </c>
      <c r="J13" s="55">
        <f t="shared" si="3"/>
        <v>8</v>
      </c>
      <c r="K13" s="55">
        <f t="shared" si="3"/>
        <v>10</v>
      </c>
      <c r="L13" s="55">
        <f>E13+F13+G13+H13+I13+J13+K13</f>
        <v>130</v>
      </c>
      <c r="M13" s="55">
        <f>M3+M5+M7+M9+M11</f>
        <v>300</v>
      </c>
      <c r="N13" s="59">
        <f t="shared" si="1"/>
        <v>0.43333333333333335</v>
      </c>
      <c r="P13" s="57" t="s">
        <v>47</v>
      </c>
      <c r="Q13" s="62">
        <f>M6/6</f>
        <v>5.333333333333333</v>
      </c>
      <c r="R13" s="62">
        <f>M7/6</f>
        <v>10.666666666666666</v>
      </c>
    </row>
    <row r="14" spans="1:21">
      <c r="P14" s="57" t="s">
        <v>48</v>
      </c>
      <c r="Q14" s="62">
        <f>M8/6</f>
        <v>5.333333333333333</v>
      </c>
      <c r="R14" s="62">
        <f>M9/6</f>
        <v>10.666666666666666</v>
      </c>
    </row>
    <row r="15" spans="1:21">
      <c r="A15" s="55" t="s">
        <v>34</v>
      </c>
      <c r="B15" s="55" t="s">
        <v>35</v>
      </c>
      <c r="C15" s="55" t="s">
        <v>36</v>
      </c>
      <c r="D15" s="55" t="s">
        <v>37</v>
      </c>
      <c r="E15" s="56">
        <v>46303</v>
      </c>
      <c r="F15" s="56">
        <v>46304</v>
      </c>
      <c r="G15" s="56">
        <v>46305</v>
      </c>
      <c r="H15" s="56">
        <v>46306</v>
      </c>
      <c r="I15" s="56">
        <v>46307</v>
      </c>
      <c r="J15" s="56">
        <v>46308</v>
      </c>
      <c r="K15" s="56">
        <v>46309</v>
      </c>
      <c r="L15" s="55" t="s">
        <v>39</v>
      </c>
      <c r="M15" s="55" t="s">
        <v>54</v>
      </c>
      <c r="N15" s="55" t="s">
        <v>53</v>
      </c>
      <c r="P15" s="57" t="s">
        <v>49</v>
      </c>
      <c r="Q15" s="62">
        <f>M10/6</f>
        <v>5.333333333333333</v>
      </c>
      <c r="R15" s="62">
        <f>M11/6</f>
        <v>10.666666666666666</v>
      </c>
    </row>
    <row r="16" spans="1:21">
      <c r="A16" s="133" t="s">
        <v>42</v>
      </c>
      <c r="B16" s="133" t="s">
        <v>43</v>
      </c>
      <c r="C16" s="60" t="s">
        <v>8</v>
      </c>
      <c r="D16" s="60">
        <v>85</v>
      </c>
      <c r="E16" s="63">
        <v>3</v>
      </c>
      <c r="F16" s="63">
        <v>1</v>
      </c>
      <c r="G16" s="63">
        <v>6</v>
      </c>
      <c r="H16" s="63">
        <v>9</v>
      </c>
      <c r="I16" s="63">
        <v>5</v>
      </c>
      <c r="J16" s="63">
        <v>5</v>
      </c>
      <c r="K16" s="63">
        <v>0</v>
      </c>
      <c r="L16" s="60">
        <f t="shared" ref="L16:L25" si="4">E16+F16+G16+H16+I16+J16+K16</f>
        <v>29</v>
      </c>
      <c r="M16" s="60">
        <v>22</v>
      </c>
      <c r="N16" s="61">
        <f t="shared" ref="N16:N27" si="5">L16/M16</f>
        <v>1.3181818181818181</v>
      </c>
    </row>
    <row r="17" spans="1:14">
      <c r="A17" s="133"/>
      <c r="B17" s="133"/>
      <c r="C17" s="60" t="s">
        <v>44</v>
      </c>
      <c r="D17" s="60">
        <v>170</v>
      </c>
      <c r="E17" s="63">
        <v>5</v>
      </c>
      <c r="F17" s="63">
        <v>2</v>
      </c>
      <c r="G17" s="63">
        <v>8</v>
      </c>
      <c r="H17" s="63">
        <v>14</v>
      </c>
      <c r="I17" s="63">
        <v>12</v>
      </c>
      <c r="J17" s="63">
        <v>8</v>
      </c>
      <c r="K17" s="63">
        <v>0</v>
      </c>
      <c r="L17" s="60">
        <f t="shared" si="4"/>
        <v>49</v>
      </c>
      <c r="M17" s="60">
        <v>47</v>
      </c>
      <c r="N17" s="61">
        <f t="shared" si="5"/>
        <v>1.0425531914893618</v>
      </c>
    </row>
    <row r="18" spans="1:14">
      <c r="A18" s="134" t="s">
        <v>45</v>
      </c>
      <c r="B18" s="134" t="s">
        <v>46</v>
      </c>
      <c r="C18" s="55" t="s">
        <v>8</v>
      </c>
      <c r="D18" s="55">
        <v>125</v>
      </c>
      <c r="E18" s="64">
        <v>5</v>
      </c>
      <c r="F18" s="64">
        <v>6</v>
      </c>
      <c r="G18" s="64">
        <v>3</v>
      </c>
      <c r="H18" s="64">
        <v>5</v>
      </c>
      <c r="I18" s="64">
        <v>3</v>
      </c>
      <c r="J18" s="64">
        <v>0</v>
      </c>
      <c r="K18" s="64">
        <v>0</v>
      </c>
      <c r="L18" s="55">
        <f t="shared" si="4"/>
        <v>22</v>
      </c>
      <c r="M18" s="55">
        <v>50</v>
      </c>
      <c r="N18" s="59">
        <f t="shared" si="5"/>
        <v>0.44</v>
      </c>
    </row>
    <row r="19" spans="1:14">
      <c r="A19" s="134"/>
      <c r="B19" s="134"/>
      <c r="C19" s="55" t="s">
        <v>44</v>
      </c>
      <c r="D19" s="55">
        <v>250</v>
      </c>
      <c r="E19" s="64">
        <v>7</v>
      </c>
      <c r="F19" s="64">
        <v>10</v>
      </c>
      <c r="G19" s="64">
        <v>4</v>
      </c>
      <c r="H19" s="64">
        <v>7</v>
      </c>
      <c r="I19" s="64">
        <v>3</v>
      </c>
      <c r="J19" s="64">
        <v>0</v>
      </c>
      <c r="K19" s="64">
        <v>0</v>
      </c>
      <c r="L19" s="55">
        <f t="shared" si="4"/>
        <v>31</v>
      </c>
      <c r="M19" s="55">
        <v>107</v>
      </c>
      <c r="N19" s="59">
        <f t="shared" si="5"/>
        <v>0.28971962616822428</v>
      </c>
    </row>
    <row r="20" spans="1:14">
      <c r="A20" s="133" t="s">
        <v>47</v>
      </c>
      <c r="B20" s="133" t="s">
        <v>46</v>
      </c>
      <c r="C20" s="60" t="s">
        <v>8</v>
      </c>
      <c r="D20" s="60">
        <v>125</v>
      </c>
      <c r="E20" s="63">
        <v>6</v>
      </c>
      <c r="F20" s="63">
        <v>3</v>
      </c>
      <c r="G20" s="63">
        <v>3</v>
      </c>
      <c r="H20" s="63">
        <v>6</v>
      </c>
      <c r="I20" s="63">
        <v>0</v>
      </c>
      <c r="J20" s="63">
        <v>3</v>
      </c>
      <c r="K20" s="63">
        <v>8</v>
      </c>
      <c r="L20" s="60">
        <f t="shared" si="4"/>
        <v>29</v>
      </c>
      <c r="M20" s="60">
        <v>45</v>
      </c>
      <c r="N20" s="61">
        <f t="shared" si="5"/>
        <v>0.64444444444444449</v>
      </c>
    </row>
    <row r="21" spans="1:14">
      <c r="A21" s="133"/>
      <c r="B21" s="133"/>
      <c r="C21" s="60" t="s">
        <v>44</v>
      </c>
      <c r="D21" s="60">
        <v>250</v>
      </c>
      <c r="E21" s="63">
        <v>9</v>
      </c>
      <c r="F21" s="63">
        <v>1</v>
      </c>
      <c r="G21" s="63">
        <v>5</v>
      </c>
      <c r="H21" s="63">
        <v>7</v>
      </c>
      <c r="I21" s="63">
        <v>0</v>
      </c>
      <c r="J21" s="63">
        <v>4</v>
      </c>
      <c r="K21" s="63">
        <v>13</v>
      </c>
      <c r="L21" s="60">
        <f t="shared" si="4"/>
        <v>39</v>
      </c>
      <c r="M21" s="60">
        <v>101</v>
      </c>
      <c r="N21" s="61">
        <f t="shared" si="5"/>
        <v>0.38613861386138615</v>
      </c>
    </row>
    <row r="22" spans="1:14">
      <c r="A22" s="134" t="s">
        <v>48</v>
      </c>
      <c r="B22" s="134" t="s">
        <v>46</v>
      </c>
      <c r="C22" s="55" t="s">
        <v>8</v>
      </c>
      <c r="D22" s="55">
        <v>125</v>
      </c>
      <c r="E22" s="64">
        <v>1</v>
      </c>
      <c r="F22" s="64">
        <v>0</v>
      </c>
      <c r="G22" s="64">
        <v>6</v>
      </c>
      <c r="H22" s="64">
        <v>9</v>
      </c>
      <c r="I22" s="64">
        <v>2</v>
      </c>
      <c r="J22" s="64">
        <v>4</v>
      </c>
      <c r="K22" s="64">
        <v>4</v>
      </c>
      <c r="L22" s="55">
        <f t="shared" si="4"/>
        <v>26</v>
      </c>
      <c r="M22" s="55">
        <v>51</v>
      </c>
      <c r="N22" s="59">
        <f t="shared" si="5"/>
        <v>0.50980392156862742</v>
      </c>
    </row>
    <row r="23" spans="1:14">
      <c r="A23" s="134"/>
      <c r="B23" s="134"/>
      <c r="C23" s="55" t="s">
        <v>44</v>
      </c>
      <c r="D23" s="55">
        <v>250</v>
      </c>
      <c r="E23" s="64">
        <v>13</v>
      </c>
      <c r="F23" s="64">
        <v>0</v>
      </c>
      <c r="G23" s="64">
        <v>8</v>
      </c>
      <c r="H23" s="64">
        <v>16</v>
      </c>
      <c r="I23" s="64">
        <v>2</v>
      </c>
      <c r="J23" s="64">
        <v>5</v>
      </c>
      <c r="K23" s="64">
        <v>8</v>
      </c>
      <c r="L23" s="55">
        <f t="shared" si="4"/>
        <v>52</v>
      </c>
      <c r="M23" s="55">
        <v>106</v>
      </c>
      <c r="N23" s="59">
        <f t="shared" si="5"/>
        <v>0.49056603773584906</v>
      </c>
    </row>
    <row r="24" spans="1:14">
      <c r="A24" s="133" t="s">
        <v>49</v>
      </c>
      <c r="B24" s="133" t="s">
        <v>46</v>
      </c>
      <c r="C24" s="60" t="s">
        <v>8</v>
      </c>
      <c r="D24" s="60">
        <v>125</v>
      </c>
      <c r="E24" s="63">
        <v>0</v>
      </c>
      <c r="F24" s="63">
        <v>0</v>
      </c>
      <c r="G24" s="63">
        <v>6</v>
      </c>
      <c r="H24" s="63">
        <v>5</v>
      </c>
      <c r="I24" s="63">
        <v>7</v>
      </c>
      <c r="J24" s="63">
        <v>0</v>
      </c>
      <c r="K24" s="63">
        <v>0</v>
      </c>
      <c r="L24" s="60">
        <f t="shared" si="4"/>
        <v>18</v>
      </c>
      <c r="M24" s="60">
        <v>49</v>
      </c>
      <c r="N24" s="61">
        <f t="shared" si="5"/>
        <v>0.36734693877551022</v>
      </c>
    </row>
    <row r="25" spans="1:14">
      <c r="A25" s="133"/>
      <c r="B25" s="133"/>
      <c r="C25" s="60" t="s">
        <v>44</v>
      </c>
      <c r="D25" s="60">
        <v>250</v>
      </c>
      <c r="E25" s="63">
        <v>0</v>
      </c>
      <c r="F25" s="63">
        <v>0</v>
      </c>
      <c r="G25" s="63">
        <v>9</v>
      </c>
      <c r="H25" s="63">
        <v>7</v>
      </c>
      <c r="I25" s="63">
        <v>9</v>
      </c>
      <c r="J25" s="63">
        <v>0</v>
      </c>
      <c r="K25" s="63">
        <v>0</v>
      </c>
      <c r="L25" s="60">
        <f t="shared" si="4"/>
        <v>25</v>
      </c>
      <c r="M25" s="60">
        <v>109</v>
      </c>
      <c r="N25" s="61">
        <f t="shared" si="5"/>
        <v>0.22935779816513763</v>
      </c>
    </row>
    <row r="26" spans="1:14">
      <c r="A26" s="134" t="s">
        <v>50</v>
      </c>
      <c r="B26" s="134" t="s">
        <v>51</v>
      </c>
      <c r="C26" s="55" t="s">
        <v>8</v>
      </c>
      <c r="D26" s="55">
        <f t="shared" ref="D26:M26" si="6">D16+D18+D20+D22+D24</f>
        <v>585</v>
      </c>
      <c r="E26" s="55">
        <f t="shared" si="6"/>
        <v>15</v>
      </c>
      <c r="F26" s="55">
        <f t="shared" si="6"/>
        <v>10</v>
      </c>
      <c r="G26" s="55">
        <f t="shared" si="6"/>
        <v>24</v>
      </c>
      <c r="H26" s="55">
        <f t="shared" si="6"/>
        <v>34</v>
      </c>
      <c r="I26" s="55">
        <f t="shared" si="6"/>
        <v>17</v>
      </c>
      <c r="J26" s="55">
        <f t="shared" si="6"/>
        <v>12</v>
      </c>
      <c r="K26" s="55">
        <f t="shared" si="6"/>
        <v>12</v>
      </c>
      <c r="L26" s="55">
        <f t="shared" si="6"/>
        <v>124</v>
      </c>
      <c r="M26" s="55">
        <f t="shared" si="6"/>
        <v>217</v>
      </c>
      <c r="N26" s="59">
        <f t="shared" si="5"/>
        <v>0.5714285714285714</v>
      </c>
    </row>
    <row r="27" spans="1:14">
      <c r="A27" s="134"/>
      <c r="B27" s="134"/>
      <c r="C27" s="55" t="s">
        <v>44</v>
      </c>
      <c r="D27" s="55">
        <f>D17+D19+D21+D23+D25</f>
        <v>1170</v>
      </c>
      <c r="E27" s="55">
        <f>E17+E19+E21+E23+E25</f>
        <v>34</v>
      </c>
      <c r="F27" s="55">
        <f>F17+F19+F21+F23+F25</f>
        <v>13</v>
      </c>
      <c r="G27" s="55">
        <f t="shared" ref="G27:K27" si="7">G17+G19+G21+G23+G25</f>
        <v>34</v>
      </c>
      <c r="H27" s="55">
        <f t="shared" si="7"/>
        <v>51</v>
      </c>
      <c r="I27" s="55">
        <f t="shared" si="7"/>
        <v>26</v>
      </c>
      <c r="J27" s="55">
        <f t="shared" si="7"/>
        <v>17</v>
      </c>
      <c r="K27" s="55">
        <f t="shared" si="7"/>
        <v>21</v>
      </c>
      <c r="L27" s="55">
        <f>E27+F27+G27+H27+I27+J27+K27</f>
        <v>196</v>
      </c>
      <c r="M27" s="55">
        <f>M17+M19+M21+M23+M25</f>
        <v>470</v>
      </c>
      <c r="N27" s="59">
        <f t="shared" si="5"/>
        <v>0.41702127659574467</v>
      </c>
    </row>
    <row r="29" spans="1:14">
      <c r="A29" s="55" t="s">
        <v>34</v>
      </c>
      <c r="B29" s="55" t="s">
        <v>35</v>
      </c>
      <c r="C29" s="55" t="s">
        <v>36</v>
      </c>
      <c r="D29" s="55" t="s">
        <v>37</v>
      </c>
      <c r="E29" s="56">
        <v>46310</v>
      </c>
      <c r="F29" s="56">
        <v>46311</v>
      </c>
      <c r="G29" s="56">
        <v>46312</v>
      </c>
      <c r="H29" s="56">
        <v>46313</v>
      </c>
      <c r="I29" s="56">
        <v>46314</v>
      </c>
      <c r="J29" s="56">
        <v>46315</v>
      </c>
      <c r="K29" s="56">
        <v>46316</v>
      </c>
      <c r="L29" s="55" t="s">
        <v>40</v>
      </c>
      <c r="M29" s="55" t="s">
        <v>40</v>
      </c>
      <c r="N29" s="55" t="s">
        <v>53</v>
      </c>
    </row>
    <row r="30" spans="1:14">
      <c r="A30" s="133" t="s">
        <v>42</v>
      </c>
      <c r="B30" s="133" t="s">
        <v>43</v>
      </c>
      <c r="C30" s="60" t="s">
        <v>8</v>
      </c>
      <c r="D30" s="60">
        <v>85</v>
      </c>
      <c r="E30" s="63">
        <v>0</v>
      </c>
      <c r="F30" s="63">
        <v>1</v>
      </c>
      <c r="G30" s="63"/>
      <c r="H30" s="63"/>
      <c r="I30" s="63"/>
      <c r="J30" s="63"/>
      <c r="K30" s="63"/>
      <c r="L30" s="60">
        <f t="shared" ref="L30:L39" si="8">E30+F30+G30+H30+I30+J30+K30</f>
        <v>1</v>
      </c>
      <c r="M30" s="60">
        <v>22</v>
      </c>
      <c r="N30" s="61">
        <f t="shared" ref="N30:N41" si="9">L30/M30</f>
        <v>4.5454545454545456E-2</v>
      </c>
    </row>
    <row r="31" spans="1:14">
      <c r="A31" s="133"/>
      <c r="B31" s="133"/>
      <c r="C31" s="60" t="s">
        <v>44</v>
      </c>
      <c r="D31" s="60">
        <v>170</v>
      </c>
      <c r="E31" s="63">
        <v>0</v>
      </c>
      <c r="F31" s="63">
        <v>1</v>
      </c>
      <c r="G31" s="63"/>
      <c r="H31" s="63"/>
      <c r="I31" s="63"/>
      <c r="J31" s="63"/>
      <c r="K31" s="63"/>
      <c r="L31" s="60">
        <f t="shared" si="8"/>
        <v>1</v>
      </c>
      <c r="M31" s="60">
        <v>44</v>
      </c>
      <c r="N31" s="61">
        <f t="shared" si="9"/>
        <v>2.2727272727272728E-2</v>
      </c>
    </row>
    <row r="32" spans="1:14">
      <c r="A32" s="134" t="s">
        <v>45</v>
      </c>
      <c r="B32" s="134" t="s">
        <v>46</v>
      </c>
      <c r="C32" s="55" t="s">
        <v>8</v>
      </c>
      <c r="D32" s="55">
        <v>125</v>
      </c>
      <c r="E32" s="64">
        <v>6</v>
      </c>
      <c r="F32" s="64">
        <v>4</v>
      </c>
      <c r="G32" s="64"/>
      <c r="H32" s="64"/>
      <c r="I32" s="64"/>
      <c r="J32" s="64"/>
      <c r="K32" s="64"/>
      <c r="L32" s="55">
        <f t="shared" si="8"/>
        <v>10</v>
      </c>
      <c r="M32" s="55">
        <v>32</v>
      </c>
      <c r="N32" s="59">
        <f t="shared" si="9"/>
        <v>0.3125</v>
      </c>
    </row>
    <row r="33" spans="1:14">
      <c r="A33" s="134"/>
      <c r="B33" s="134"/>
      <c r="C33" s="55" t="s">
        <v>44</v>
      </c>
      <c r="D33" s="55">
        <v>250</v>
      </c>
      <c r="E33" s="64">
        <v>10</v>
      </c>
      <c r="F33" s="64">
        <v>7</v>
      </c>
      <c r="G33" s="64"/>
      <c r="H33" s="64"/>
      <c r="I33" s="64"/>
      <c r="J33" s="64"/>
      <c r="K33" s="64"/>
      <c r="L33" s="55">
        <f t="shared" si="8"/>
        <v>17</v>
      </c>
      <c r="M33" s="55">
        <v>64</v>
      </c>
      <c r="N33" s="59">
        <f t="shared" si="9"/>
        <v>0.265625</v>
      </c>
    </row>
    <row r="34" spans="1:14">
      <c r="A34" s="133" t="s">
        <v>47</v>
      </c>
      <c r="B34" s="133" t="s">
        <v>46</v>
      </c>
      <c r="C34" s="60" t="s">
        <v>8</v>
      </c>
      <c r="D34" s="60">
        <v>125</v>
      </c>
      <c r="E34" s="63">
        <v>0</v>
      </c>
      <c r="F34" s="63">
        <v>3</v>
      </c>
      <c r="G34" s="63"/>
      <c r="H34" s="63"/>
      <c r="I34" s="63"/>
      <c r="J34" s="63"/>
      <c r="K34" s="63"/>
      <c r="L34" s="60">
        <f t="shared" si="8"/>
        <v>3</v>
      </c>
      <c r="M34" s="60">
        <v>32</v>
      </c>
      <c r="N34" s="61">
        <f t="shared" si="9"/>
        <v>9.375E-2</v>
      </c>
    </row>
    <row r="35" spans="1:14">
      <c r="A35" s="133"/>
      <c r="B35" s="133"/>
      <c r="C35" s="60" t="s">
        <v>44</v>
      </c>
      <c r="D35" s="60">
        <v>250</v>
      </c>
      <c r="E35" s="63">
        <v>0</v>
      </c>
      <c r="F35" s="63">
        <v>4</v>
      </c>
      <c r="G35" s="63"/>
      <c r="H35" s="63"/>
      <c r="I35" s="63"/>
      <c r="J35" s="63"/>
      <c r="K35" s="63"/>
      <c r="L35" s="60">
        <f t="shared" si="8"/>
        <v>4</v>
      </c>
      <c r="M35" s="60">
        <v>64</v>
      </c>
      <c r="N35" s="61">
        <f t="shared" si="9"/>
        <v>6.25E-2</v>
      </c>
    </row>
    <row r="36" spans="1:14">
      <c r="A36" s="134" t="s">
        <v>48</v>
      </c>
      <c r="B36" s="134" t="s">
        <v>46</v>
      </c>
      <c r="C36" s="55" t="s">
        <v>8</v>
      </c>
      <c r="D36" s="55">
        <v>125</v>
      </c>
      <c r="E36" s="64">
        <v>2</v>
      </c>
      <c r="F36" s="64">
        <v>0</v>
      </c>
      <c r="G36" s="64"/>
      <c r="H36" s="64"/>
      <c r="I36" s="64"/>
      <c r="J36" s="64"/>
      <c r="K36" s="64"/>
      <c r="L36" s="55">
        <f t="shared" si="8"/>
        <v>2</v>
      </c>
      <c r="M36" s="55">
        <v>32</v>
      </c>
      <c r="N36" s="59">
        <f t="shared" si="9"/>
        <v>6.25E-2</v>
      </c>
    </row>
    <row r="37" spans="1:14">
      <c r="A37" s="134"/>
      <c r="B37" s="134"/>
      <c r="C37" s="55" t="s">
        <v>44</v>
      </c>
      <c r="D37" s="55">
        <v>250</v>
      </c>
      <c r="E37" s="64">
        <v>3</v>
      </c>
      <c r="F37" s="64">
        <v>0</v>
      </c>
      <c r="G37" s="64"/>
      <c r="H37" s="64"/>
      <c r="I37" s="64"/>
      <c r="J37" s="64"/>
      <c r="K37" s="64"/>
      <c r="L37" s="55">
        <f t="shared" si="8"/>
        <v>3</v>
      </c>
      <c r="M37" s="55">
        <v>64</v>
      </c>
      <c r="N37" s="59">
        <f t="shared" si="9"/>
        <v>4.6875E-2</v>
      </c>
    </row>
    <row r="38" spans="1:14">
      <c r="A38" s="133" t="s">
        <v>49</v>
      </c>
      <c r="B38" s="133" t="s">
        <v>46</v>
      </c>
      <c r="C38" s="60" t="s">
        <v>8</v>
      </c>
      <c r="D38" s="60">
        <v>125</v>
      </c>
      <c r="E38" s="63">
        <v>0</v>
      </c>
      <c r="F38" s="63">
        <v>3</v>
      </c>
      <c r="G38" s="63"/>
      <c r="H38" s="63"/>
      <c r="I38" s="63"/>
      <c r="J38" s="63"/>
      <c r="K38" s="63"/>
      <c r="L38" s="60">
        <f t="shared" si="8"/>
        <v>3</v>
      </c>
      <c r="M38" s="60">
        <v>32</v>
      </c>
      <c r="N38" s="61">
        <f t="shared" si="9"/>
        <v>9.375E-2</v>
      </c>
    </row>
    <row r="39" spans="1:14">
      <c r="A39" s="133"/>
      <c r="B39" s="133"/>
      <c r="C39" s="60" t="s">
        <v>44</v>
      </c>
      <c r="D39" s="60">
        <v>250</v>
      </c>
      <c r="E39" s="63">
        <v>0</v>
      </c>
      <c r="F39" s="63">
        <v>1</v>
      </c>
      <c r="G39" s="63"/>
      <c r="H39" s="63"/>
      <c r="I39" s="63"/>
      <c r="J39" s="63"/>
      <c r="K39" s="63"/>
      <c r="L39" s="60">
        <f t="shared" si="8"/>
        <v>1</v>
      </c>
      <c r="M39" s="60">
        <v>64</v>
      </c>
      <c r="N39" s="61">
        <f t="shared" si="9"/>
        <v>1.5625E-2</v>
      </c>
    </row>
    <row r="40" spans="1:14">
      <c r="A40" s="134" t="s">
        <v>50</v>
      </c>
      <c r="B40" s="134" t="s">
        <v>51</v>
      </c>
      <c r="C40" s="55" t="s">
        <v>8</v>
      </c>
      <c r="D40" s="55">
        <f t="shared" ref="D40:M40" si="10">D30+D32+D34+D36+D38</f>
        <v>585</v>
      </c>
      <c r="E40" s="55">
        <f t="shared" si="10"/>
        <v>8</v>
      </c>
      <c r="F40" s="55">
        <f t="shared" si="10"/>
        <v>11</v>
      </c>
      <c r="G40" s="55">
        <f t="shared" si="10"/>
        <v>0</v>
      </c>
      <c r="H40" s="55">
        <f t="shared" si="10"/>
        <v>0</v>
      </c>
      <c r="I40" s="55">
        <f t="shared" si="10"/>
        <v>0</v>
      </c>
      <c r="J40" s="55">
        <f t="shared" si="10"/>
        <v>0</v>
      </c>
      <c r="K40" s="55">
        <f t="shared" si="10"/>
        <v>0</v>
      </c>
      <c r="L40" s="55">
        <f t="shared" si="10"/>
        <v>19</v>
      </c>
      <c r="M40" s="55">
        <f t="shared" si="10"/>
        <v>150</v>
      </c>
      <c r="N40" s="59">
        <f t="shared" si="9"/>
        <v>0.12666666666666668</v>
      </c>
    </row>
    <row r="41" spans="1:14">
      <c r="A41" s="134"/>
      <c r="B41" s="134"/>
      <c r="C41" s="55" t="s">
        <v>44</v>
      </c>
      <c r="D41" s="55">
        <f>D31+D33+D35+D37+D39</f>
        <v>1170</v>
      </c>
      <c r="E41" s="55">
        <f>E31+E33+E35+E37+E39</f>
        <v>13</v>
      </c>
      <c r="F41" s="55">
        <f>F31+F33+F35+F37+F39</f>
        <v>13</v>
      </c>
      <c r="G41" s="55">
        <f t="shared" ref="G41:K41" si="11">G31+G33+G35+G37+G39</f>
        <v>0</v>
      </c>
      <c r="H41" s="55">
        <f t="shared" si="11"/>
        <v>0</v>
      </c>
      <c r="I41" s="55">
        <f t="shared" si="11"/>
        <v>0</v>
      </c>
      <c r="J41" s="55">
        <f t="shared" si="11"/>
        <v>0</v>
      </c>
      <c r="K41" s="55">
        <f t="shared" si="11"/>
        <v>0</v>
      </c>
      <c r="L41" s="55">
        <f>E41+F41+G41+H41+I41+J41+K41</f>
        <v>26</v>
      </c>
      <c r="M41" s="55">
        <f>M31+M33+M35+M37+M39</f>
        <v>300</v>
      </c>
      <c r="N41" s="59">
        <f t="shared" si="9"/>
        <v>8.666666666666667E-2</v>
      </c>
    </row>
    <row r="43" spans="1:14">
      <c r="A43" s="55" t="s">
        <v>34</v>
      </c>
      <c r="B43" s="55" t="s">
        <v>35</v>
      </c>
      <c r="C43" s="55" t="s">
        <v>36</v>
      </c>
      <c r="D43" s="55" t="s">
        <v>37</v>
      </c>
      <c r="E43" s="56">
        <v>46317</v>
      </c>
      <c r="F43" s="56">
        <v>46318</v>
      </c>
      <c r="G43" s="56">
        <v>46319</v>
      </c>
      <c r="H43" s="56">
        <v>46320</v>
      </c>
      <c r="I43" s="56">
        <v>46321</v>
      </c>
      <c r="J43" s="56">
        <v>46322</v>
      </c>
      <c r="K43" s="56">
        <v>46323</v>
      </c>
      <c r="L43" s="55" t="s">
        <v>41</v>
      </c>
      <c r="M43" s="55" t="s">
        <v>41</v>
      </c>
      <c r="N43" s="55" t="s">
        <v>53</v>
      </c>
    </row>
    <row r="44" spans="1:14">
      <c r="A44" s="133" t="s">
        <v>42</v>
      </c>
      <c r="B44" s="133" t="s">
        <v>43</v>
      </c>
      <c r="C44" s="60" t="s">
        <v>8</v>
      </c>
      <c r="D44" s="60">
        <v>85</v>
      </c>
      <c r="E44" s="63"/>
      <c r="F44" s="63"/>
      <c r="G44" s="63"/>
      <c r="H44" s="63"/>
      <c r="I44" s="63"/>
      <c r="J44" s="63"/>
      <c r="K44" s="63"/>
      <c r="L44" s="60">
        <f t="shared" ref="L44:L53" si="12">E44+F44+G44+H44+I44+J44+K44</f>
        <v>0</v>
      </c>
      <c r="M44" s="60">
        <v>22</v>
      </c>
      <c r="N44" s="61">
        <f t="shared" ref="N44:N55" si="13">L44/M44</f>
        <v>0</v>
      </c>
    </row>
    <row r="45" spans="1:14">
      <c r="A45" s="133"/>
      <c r="B45" s="133"/>
      <c r="C45" s="60" t="s">
        <v>44</v>
      </c>
      <c r="D45" s="60">
        <v>170</v>
      </c>
      <c r="E45" s="63"/>
      <c r="F45" s="63"/>
      <c r="G45" s="63"/>
      <c r="H45" s="63"/>
      <c r="I45" s="63"/>
      <c r="J45" s="63"/>
      <c r="K45" s="63"/>
      <c r="L45" s="60">
        <f t="shared" si="12"/>
        <v>0</v>
      </c>
      <c r="M45" s="60">
        <v>44</v>
      </c>
      <c r="N45" s="61">
        <f t="shared" si="13"/>
        <v>0</v>
      </c>
    </row>
    <row r="46" spans="1:14">
      <c r="A46" s="134" t="s">
        <v>45</v>
      </c>
      <c r="B46" s="134" t="s">
        <v>46</v>
      </c>
      <c r="C46" s="55" t="s">
        <v>8</v>
      </c>
      <c r="D46" s="55">
        <v>125</v>
      </c>
      <c r="E46" s="64"/>
      <c r="F46" s="64"/>
      <c r="G46" s="64"/>
      <c r="H46" s="64"/>
      <c r="I46" s="64"/>
      <c r="J46" s="64"/>
      <c r="K46" s="64"/>
      <c r="L46" s="55">
        <f t="shared" si="12"/>
        <v>0</v>
      </c>
      <c r="M46" s="55">
        <v>32</v>
      </c>
      <c r="N46" s="59">
        <f t="shared" si="13"/>
        <v>0</v>
      </c>
    </row>
    <row r="47" spans="1:14">
      <c r="A47" s="134"/>
      <c r="B47" s="134"/>
      <c r="C47" s="55" t="s">
        <v>44</v>
      </c>
      <c r="D47" s="55">
        <v>250</v>
      </c>
      <c r="E47" s="64"/>
      <c r="F47" s="64"/>
      <c r="G47" s="64"/>
      <c r="H47" s="64"/>
      <c r="I47" s="64"/>
      <c r="J47" s="64"/>
      <c r="K47" s="64"/>
      <c r="L47" s="55">
        <f t="shared" si="12"/>
        <v>0</v>
      </c>
      <c r="M47" s="55">
        <v>64</v>
      </c>
      <c r="N47" s="59">
        <f t="shared" si="13"/>
        <v>0</v>
      </c>
    </row>
    <row r="48" spans="1:14">
      <c r="A48" s="133" t="s">
        <v>47</v>
      </c>
      <c r="B48" s="133" t="s">
        <v>46</v>
      </c>
      <c r="C48" s="60" t="s">
        <v>8</v>
      </c>
      <c r="D48" s="60">
        <v>125</v>
      </c>
      <c r="E48" s="63"/>
      <c r="F48" s="63"/>
      <c r="G48" s="63"/>
      <c r="H48" s="63"/>
      <c r="I48" s="63"/>
      <c r="J48" s="63"/>
      <c r="K48" s="63"/>
      <c r="L48" s="60">
        <f t="shared" si="12"/>
        <v>0</v>
      </c>
      <c r="M48" s="60">
        <v>32</v>
      </c>
      <c r="N48" s="61">
        <f t="shared" si="13"/>
        <v>0</v>
      </c>
    </row>
    <row r="49" spans="1:14">
      <c r="A49" s="133"/>
      <c r="B49" s="133"/>
      <c r="C49" s="60" t="s">
        <v>44</v>
      </c>
      <c r="D49" s="60">
        <v>250</v>
      </c>
      <c r="E49" s="63"/>
      <c r="F49" s="63"/>
      <c r="G49" s="63"/>
      <c r="H49" s="63"/>
      <c r="I49" s="63"/>
      <c r="J49" s="63"/>
      <c r="K49" s="63"/>
      <c r="L49" s="60">
        <f t="shared" si="12"/>
        <v>0</v>
      </c>
      <c r="M49" s="60">
        <v>64</v>
      </c>
      <c r="N49" s="61">
        <f t="shared" si="13"/>
        <v>0</v>
      </c>
    </row>
    <row r="50" spans="1:14">
      <c r="A50" s="134" t="s">
        <v>48</v>
      </c>
      <c r="B50" s="134" t="s">
        <v>46</v>
      </c>
      <c r="C50" s="55" t="s">
        <v>8</v>
      </c>
      <c r="D50" s="55">
        <v>125</v>
      </c>
      <c r="E50" s="64"/>
      <c r="F50" s="64"/>
      <c r="G50" s="64"/>
      <c r="H50" s="64"/>
      <c r="I50" s="64"/>
      <c r="J50" s="64"/>
      <c r="K50" s="64"/>
      <c r="L50" s="55">
        <f t="shared" si="12"/>
        <v>0</v>
      </c>
      <c r="M50" s="55">
        <v>32</v>
      </c>
      <c r="N50" s="59">
        <f t="shared" si="13"/>
        <v>0</v>
      </c>
    </row>
    <row r="51" spans="1:14">
      <c r="A51" s="134"/>
      <c r="B51" s="134"/>
      <c r="C51" s="55" t="s">
        <v>44</v>
      </c>
      <c r="D51" s="55">
        <v>250</v>
      </c>
      <c r="E51" s="64"/>
      <c r="F51" s="64"/>
      <c r="G51" s="64"/>
      <c r="H51" s="64"/>
      <c r="I51" s="64"/>
      <c r="J51" s="64"/>
      <c r="K51" s="64"/>
      <c r="L51" s="55">
        <f t="shared" si="12"/>
        <v>0</v>
      </c>
      <c r="M51" s="55">
        <v>64</v>
      </c>
      <c r="N51" s="59">
        <f t="shared" si="13"/>
        <v>0</v>
      </c>
    </row>
    <row r="52" spans="1:14">
      <c r="A52" s="133" t="s">
        <v>49</v>
      </c>
      <c r="B52" s="133" t="s">
        <v>46</v>
      </c>
      <c r="C52" s="60" t="s">
        <v>8</v>
      </c>
      <c r="D52" s="60">
        <v>125</v>
      </c>
      <c r="E52" s="63"/>
      <c r="F52" s="63"/>
      <c r="G52" s="63"/>
      <c r="H52" s="63"/>
      <c r="I52" s="63"/>
      <c r="J52" s="63"/>
      <c r="K52" s="63"/>
      <c r="L52" s="60">
        <f t="shared" si="12"/>
        <v>0</v>
      </c>
      <c r="M52" s="60">
        <v>32</v>
      </c>
      <c r="N52" s="61">
        <f t="shared" si="13"/>
        <v>0</v>
      </c>
    </row>
    <row r="53" spans="1:14">
      <c r="A53" s="133"/>
      <c r="B53" s="133"/>
      <c r="C53" s="60" t="s">
        <v>44</v>
      </c>
      <c r="D53" s="60">
        <v>250</v>
      </c>
      <c r="E53" s="63"/>
      <c r="F53" s="63"/>
      <c r="G53" s="63"/>
      <c r="H53" s="63"/>
      <c r="I53" s="63"/>
      <c r="J53" s="63"/>
      <c r="K53" s="63"/>
      <c r="L53" s="60">
        <f t="shared" si="12"/>
        <v>0</v>
      </c>
      <c r="M53" s="60">
        <v>64</v>
      </c>
      <c r="N53" s="61">
        <f t="shared" si="13"/>
        <v>0</v>
      </c>
    </row>
    <row r="54" spans="1:14">
      <c r="A54" s="134" t="s">
        <v>50</v>
      </c>
      <c r="B54" s="134" t="s">
        <v>51</v>
      </c>
      <c r="C54" s="55" t="s">
        <v>8</v>
      </c>
      <c r="D54" s="55">
        <f t="shared" ref="D54:M54" si="14">D44+D46+D48+D50+D52</f>
        <v>585</v>
      </c>
      <c r="E54" s="55">
        <f t="shared" si="14"/>
        <v>0</v>
      </c>
      <c r="F54" s="55">
        <f t="shared" si="14"/>
        <v>0</v>
      </c>
      <c r="G54" s="55">
        <f t="shared" si="14"/>
        <v>0</v>
      </c>
      <c r="H54" s="55">
        <f t="shared" si="14"/>
        <v>0</v>
      </c>
      <c r="I54" s="55">
        <f t="shared" si="14"/>
        <v>0</v>
      </c>
      <c r="J54" s="55">
        <f t="shared" si="14"/>
        <v>0</v>
      </c>
      <c r="K54" s="55">
        <f t="shared" si="14"/>
        <v>0</v>
      </c>
      <c r="L54" s="55">
        <f t="shared" si="14"/>
        <v>0</v>
      </c>
      <c r="M54" s="55">
        <f t="shared" si="14"/>
        <v>150</v>
      </c>
      <c r="N54" s="59">
        <f t="shared" si="13"/>
        <v>0</v>
      </c>
    </row>
    <row r="55" spans="1:14">
      <c r="A55" s="134"/>
      <c r="B55" s="134"/>
      <c r="C55" s="55" t="s">
        <v>44</v>
      </c>
      <c r="D55" s="55">
        <f>D45+D47+D49+D51+D53</f>
        <v>1170</v>
      </c>
      <c r="E55" s="55">
        <f>E45+E47+E49+E51+E53</f>
        <v>0</v>
      </c>
      <c r="F55" s="55">
        <f>F45+F47+F49+F51+F53</f>
        <v>0</v>
      </c>
      <c r="G55" s="55">
        <f t="shared" ref="G55:K55" si="15">G45+G47+G49+G51+G53</f>
        <v>0</v>
      </c>
      <c r="H55" s="55">
        <f t="shared" si="15"/>
        <v>0</v>
      </c>
      <c r="I55" s="55">
        <f t="shared" si="15"/>
        <v>0</v>
      </c>
      <c r="J55" s="55">
        <f t="shared" si="15"/>
        <v>0</v>
      </c>
      <c r="K55" s="55">
        <f t="shared" si="15"/>
        <v>0</v>
      </c>
      <c r="L55" s="55">
        <f>E55+F55+G55+H55+I55+J55+K55</f>
        <v>0</v>
      </c>
      <c r="M55" s="55">
        <f>M45+M47+M49+M51+M53</f>
        <v>300</v>
      </c>
      <c r="N55" s="59">
        <f t="shared" si="13"/>
        <v>0</v>
      </c>
    </row>
  </sheetData>
  <sheetProtection algorithmName="SHA-512" hashValue="1zY9SvLj7afqEaImFFvCwvGTg8NSlYqeEdG3tg7K0OlFdL/5T3PipVGjMGQ1/rO/Bp/q4SFivybbhbgQ6wcKhg==" saltValue="0Nu1jhao855gwmoc+s2HOQ==" spinCount="100000" sheet="1" objects="1" scenarios="1"/>
  <mergeCells count="50">
    <mergeCell ref="P1:U1"/>
    <mergeCell ref="P9:T9"/>
    <mergeCell ref="A50:A51"/>
    <mergeCell ref="B50:B51"/>
    <mergeCell ref="A52:A53"/>
    <mergeCell ref="B52:B53"/>
    <mergeCell ref="A36:A37"/>
    <mergeCell ref="B36:B37"/>
    <mergeCell ref="A38:A39"/>
    <mergeCell ref="B38:B39"/>
    <mergeCell ref="A40:A41"/>
    <mergeCell ref="B40:B41"/>
    <mergeCell ref="A30:A31"/>
    <mergeCell ref="B30:B31"/>
    <mergeCell ref="A32:A33"/>
    <mergeCell ref="B32:B33"/>
    <mergeCell ref="A54:A55"/>
    <mergeCell ref="B54:B55"/>
    <mergeCell ref="A44:A45"/>
    <mergeCell ref="B44:B45"/>
    <mergeCell ref="A46:A47"/>
    <mergeCell ref="B46:B47"/>
    <mergeCell ref="A48:A49"/>
    <mergeCell ref="B48:B49"/>
    <mergeCell ref="A34:A35"/>
    <mergeCell ref="B34:B35"/>
    <mergeCell ref="A22:A23"/>
    <mergeCell ref="B22:B23"/>
    <mergeCell ref="A24:A25"/>
    <mergeCell ref="B24:B25"/>
    <mergeCell ref="A26:A27"/>
    <mergeCell ref="B26:B27"/>
    <mergeCell ref="A16:A17"/>
    <mergeCell ref="B16:B17"/>
    <mergeCell ref="A18:A19"/>
    <mergeCell ref="B18:B19"/>
    <mergeCell ref="A20:A21"/>
    <mergeCell ref="B20:B21"/>
    <mergeCell ref="B2:B3"/>
    <mergeCell ref="A2:A3"/>
    <mergeCell ref="A4:A5"/>
    <mergeCell ref="A6:A7"/>
    <mergeCell ref="A12:A13"/>
    <mergeCell ref="A10:A11"/>
    <mergeCell ref="A8:A9"/>
    <mergeCell ref="B12:B13"/>
    <mergeCell ref="B10:B11"/>
    <mergeCell ref="B8:B9"/>
    <mergeCell ref="B6:B7"/>
    <mergeCell ref="B4:B5"/>
  </mergeCells>
  <conditionalFormatting sqref="E2:K2">
    <cfRule type="cellIs" dxfId="63" priority="64" operator="greaterThan">
      <formula>3.7</formula>
    </cfRule>
    <cfRule type="cellIs" dxfId="62" priority="62" operator="lessThan">
      <formula>3.7</formula>
    </cfRule>
  </conditionalFormatting>
  <conditionalFormatting sqref="E3:K3">
    <cfRule type="cellIs" dxfId="61" priority="61" operator="lessThan">
      <formula>7.3</formula>
    </cfRule>
    <cfRule type="cellIs" dxfId="60" priority="63" operator="greaterThan">
      <formula>7.3</formula>
    </cfRule>
  </conditionalFormatting>
  <conditionalFormatting sqref="E4:K4 E6:K6 E8:K8 E10:K10">
    <cfRule type="cellIs" dxfId="59" priority="31" operator="lessThan">
      <formula>5.3</formula>
    </cfRule>
    <cfRule type="cellIs" dxfId="58" priority="32" operator="greaterThan">
      <formula>5.3</formula>
    </cfRule>
  </conditionalFormatting>
  <conditionalFormatting sqref="E5:K5 E7:K7 E9:K9 E11:K11">
    <cfRule type="cellIs" dxfId="57" priority="30" operator="greaterThan">
      <formula>10.7</formula>
    </cfRule>
    <cfRule type="cellIs" dxfId="56" priority="29" operator="lessThan">
      <formula>10.7</formula>
    </cfRule>
  </conditionalFormatting>
  <conditionalFormatting sqref="E16:K16">
    <cfRule type="cellIs" dxfId="55" priority="54" operator="lessThan">
      <formula>3.7</formula>
    </cfRule>
    <cfRule type="cellIs" dxfId="54" priority="56" operator="greaterThan">
      <formula>3.7</formula>
    </cfRule>
  </conditionalFormatting>
  <conditionalFormatting sqref="E17:K17">
    <cfRule type="cellIs" dxfId="53" priority="53" operator="lessThan">
      <formula>7.3</formula>
    </cfRule>
    <cfRule type="cellIs" dxfId="52" priority="55" operator="greaterThan">
      <formula>7.3</formula>
    </cfRule>
  </conditionalFormatting>
  <conditionalFormatting sqref="E18:K18 E20:K20 E22:K22 E24:K24">
    <cfRule type="cellIs" dxfId="51" priority="23" operator="lessThan">
      <formula>5.3</formula>
    </cfRule>
    <cfRule type="cellIs" dxfId="50" priority="24" operator="greaterThan">
      <formula>5.3</formula>
    </cfRule>
  </conditionalFormatting>
  <conditionalFormatting sqref="E19:K19 E21:K21 E23:K23 E25:K25">
    <cfRule type="cellIs" dxfId="49" priority="21" operator="lessThan">
      <formula>10.7</formula>
    </cfRule>
    <cfRule type="cellIs" dxfId="48" priority="22" operator="greaterThan">
      <formula>10.7</formula>
    </cfRule>
  </conditionalFormatting>
  <conditionalFormatting sqref="E30:K30">
    <cfRule type="cellIs" dxfId="47" priority="48" operator="greaterThan">
      <formula>3.7</formula>
    </cfRule>
    <cfRule type="cellIs" dxfId="46" priority="46" operator="lessThan">
      <formula>3.7</formula>
    </cfRule>
  </conditionalFormatting>
  <conditionalFormatting sqref="E31:K31">
    <cfRule type="cellIs" dxfId="45" priority="45" operator="lessThan">
      <formula>7.3</formula>
    </cfRule>
    <cfRule type="cellIs" dxfId="44" priority="47" operator="greaterThan">
      <formula>7.3</formula>
    </cfRule>
  </conditionalFormatting>
  <conditionalFormatting sqref="E32:K32 E34:K34 E36:K36 E38:K38">
    <cfRule type="cellIs" dxfId="43" priority="15" operator="lessThan">
      <formula>5.3</formula>
    </cfRule>
    <cfRule type="cellIs" dxfId="42" priority="16" operator="greaterThan">
      <formula>5.3</formula>
    </cfRule>
  </conditionalFormatting>
  <conditionalFormatting sqref="E33:K33 E35:K35 E37:K37 E39:K39">
    <cfRule type="cellIs" dxfId="41" priority="13" operator="lessThan">
      <formula>10.7</formula>
    </cfRule>
    <cfRule type="cellIs" dxfId="40" priority="14" operator="greaterThan">
      <formula>10.7</formula>
    </cfRule>
  </conditionalFormatting>
  <conditionalFormatting sqref="E44:K44">
    <cfRule type="cellIs" dxfId="39" priority="40" operator="greaterThan">
      <formula>3.7</formula>
    </cfRule>
    <cfRule type="cellIs" dxfId="38" priority="38" operator="lessThan">
      <formula>3.7</formula>
    </cfRule>
  </conditionalFormatting>
  <conditionalFormatting sqref="E45:K45">
    <cfRule type="cellIs" dxfId="37" priority="39" operator="greaterThan">
      <formula>7.3</formula>
    </cfRule>
    <cfRule type="cellIs" dxfId="36" priority="37" operator="lessThan">
      <formula>7.3</formula>
    </cfRule>
  </conditionalFormatting>
  <conditionalFormatting sqref="E46:K46 E48:K48 E50:K50 E52:K52">
    <cfRule type="cellIs" dxfId="35" priority="7" operator="lessThan">
      <formula>5.3</formula>
    </cfRule>
    <cfRule type="cellIs" dxfId="34" priority="8" operator="greaterThan">
      <formula>5.3</formula>
    </cfRule>
  </conditionalFormatting>
  <conditionalFormatting sqref="E47:K47 E49:K49 E51:K51 E53:K53">
    <cfRule type="cellIs" dxfId="33" priority="5" operator="lessThan">
      <formula>10.7</formula>
    </cfRule>
    <cfRule type="cellIs" dxfId="32" priority="6" operator="greaterThan">
      <formula>10.7</formula>
    </cfRule>
  </conditionalFormatting>
  <conditionalFormatting sqref="L2">
    <cfRule type="cellIs" dxfId="31" priority="60" operator="greaterThan">
      <formula>22</formula>
    </cfRule>
    <cfRule type="cellIs" dxfId="30" priority="58" operator="lessThan">
      <formula>22</formula>
    </cfRule>
  </conditionalFormatting>
  <conditionalFormatting sqref="L3">
    <cfRule type="cellIs" dxfId="29" priority="57" operator="greaterThan">
      <formula>44</formula>
    </cfRule>
    <cfRule type="cellIs" dxfId="28" priority="59" operator="lessThan">
      <formula>44</formula>
    </cfRule>
  </conditionalFormatting>
  <conditionalFormatting sqref="L4 L6 L8 L10">
    <cfRule type="cellIs" dxfId="27" priority="27" operator="lessThan">
      <formula>32</formula>
    </cfRule>
    <cfRule type="cellIs" dxfId="26" priority="28" operator="greaterThan">
      <formula>32</formula>
    </cfRule>
  </conditionalFormatting>
  <conditionalFormatting sqref="L5 L7 L9 L11">
    <cfRule type="cellIs" dxfId="25" priority="25" operator="lessThan">
      <formula>64</formula>
    </cfRule>
    <cfRule type="cellIs" dxfId="24" priority="26" operator="greaterThan">
      <formula>64</formula>
    </cfRule>
  </conditionalFormatting>
  <conditionalFormatting sqref="L16">
    <cfRule type="cellIs" dxfId="23" priority="50" operator="lessThan">
      <formula>22</formula>
    </cfRule>
    <cfRule type="cellIs" dxfId="22" priority="52" operator="greaterThan">
      <formula>22</formula>
    </cfRule>
  </conditionalFormatting>
  <conditionalFormatting sqref="L17">
    <cfRule type="cellIs" dxfId="21" priority="49" operator="greaterThan">
      <formula>44</formula>
    </cfRule>
    <cfRule type="cellIs" dxfId="20" priority="51" operator="lessThan">
      <formula>44</formula>
    </cfRule>
  </conditionalFormatting>
  <conditionalFormatting sqref="L18 L20 L22 L24">
    <cfRule type="cellIs" dxfId="19" priority="19" operator="lessThan">
      <formula>32</formula>
    </cfRule>
    <cfRule type="cellIs" dxfId="18" priority="20" operator="greaterThan">
      <formula>32</formula>
    </cfRule>
  </conditionalFormatting>
  <conditionalFormatting sqref="L19 L21 L23 L25">
    <cfRule type="cellIs" dxfId="17" priority="18" operator="greaterThan">
      <formula>64</formula>
    </cfRule>
    <cfRule type="cellIs" dxfId="16" priority="17" operator="lessThan">
      <formula>64</formula>
    </cfRule>
  </conditionalFormatting>
  <conditionalFormatting sqref="L30">
    <cfRule type="cellIs" dxfId="15" priority="42" operator="lessThan">
      <formula>22</formula>
    </cfRule>
    <cfRule type="cellIs" dxfId="14" priority="44" operator="greaterThan">
      <formula>22</formula>
    </cfRule>
  </conditionalFormatting>
  <conditionalFormatting sqref="L31">
    <cfRule type="cellIs" dxfId="13" priority="41" operator="greaterThan">
      <formula>44</formula>
    </cfRule>
    <cfRule type="cellIs" dxfId="12" priority="43" operator="lessThan">
      <formula>44</formula>
    </cfRule>
  </conditionalFormatting>
  <conditionalFormatting sqref="L32 L34 L36 L38">
    <cfRule type="cellIs" dxfId="11" priority="12" operator="greaterThan">
      <formula>32</formula>
    </cfRule>
    <cfRule type="cellIs" dxfId="10" priority="11" operator="lessThan">
      <formula>32</formula>
    </cfRule>
  </conditionalFormatting>
  <conditionalFormatting sqref="L33 L35 L37 L39">
    <cfRule type="cellIs" dxfId="9" priority="9" operator="lessThan">
      <formula>64</formula>
    </cfRule>
    <cfRule type="cellIs" dxfId="8" priority="10" operator="greaterThan">
      <formula>64</formula>
    </cfRule>
  </conditionalFormatting>
  <conditionalFormatting sqref="L44">
    <cfRule type="cellIs" dxfId="7" priority="34" operator="lessThan">
      <formula>22</formula>
    </cfRule>
    <cfRule type="cellIs" dxfId="6" priority="36" operator="greaterThan">
      <formula>22</formula>
    </cfRule>
  </conditionalFormatting>
  <conditionalFormatting sqref="L45">
    <cfRule type="cellIs" dxfId="5" priority="35" operator="lessThan">
      <formula>44</formula>
    </cfRule>
    <cfRule type="cellIs" dxfId="4" priority="33" operator="greaterThan">
      <formula>44</formula>
    </cfRule>
  </conditionalFormatting>
  <conditionalFormatting sqref="L46 L48 L50 L52">
    <cfRule type="cellIs" dxfId="3" priority="4" operator="greaterThan">
      <formula>32</formula>
    </cfRule>
    <cfRule type="cellIs" dxfId="2" priority="3" operator="lessThan">
      <formula>32</formula>
    </cfRule>
  </conditionalFormatting>
  <conditionalFormatting sqref="L47 L49 L51 L53">
    <cfRule type="cellIs" dxfId="1" priority="2" operator="greaterThan">
      <formula>64</formula>
    </cfRule>
    <cfRule type="cellIs" dxfId="0" priority="1" operator="lessThan">
      <formula>64</formula>
    </cfRule>
  </conditionalFormatting>
  <conditionalFormatting sqref="S3:T7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56" orientation="landscape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7E56-DDB5-4410-AB6C-443F7BC94B85}">
  <sheetPr>
    <pageSetUpPr fitToPage="1"/>
  </sheetPr>
  <dimension ref="A1:O71"/>
  <sheetViews>
    <sheetView topLeftCell="A52" zoomScale="70" zoomScaleNormal="70" workbookViewId="0">
      <selection sqref="A1:N71"/>
    </sheetView>
  </sheetViews>
  <sheetFormatPr defaultRowHeight="14.4"/>
  <cols>
    <col min="1" max="1" width="18.44140625" customWidth="1"/>
    <col min="2" max="2" width="17" customWidth="1"/>
    <col min="3" max="3" width="19" customWidth="1"/>
    <col min="4" max="4" width="18.44140625" customWidth="1"/>
    <col min="5" max="14" width="16.33203125" customWidth="1"/>
    <col min="15" max="15" width="13.88671875" customWidth="1"/>
  </cols>
  <sheetData>
    <row r="1" spans="1:15" ht="22.8">
      <c r="A1" s="65" t="e" cm="1">
        <f t="array" ref="A1">A1:N63A1:N1:NA69</f>
        <v>#NAME?</v>
      </c>
      <c r="B1" s="66"/>
      <c r="C1" s="214" t="s">
        <v>59</v>
      </c>
      <c r="D1" s="214"/>
      <c r="E1" s="214"/>
      <c r="F1" s="214"/>
      <c r="G1" s="214"/>
      <c r="H1" s="214"/>
      <c r="I1" s="66"/>
      <c r="J1" s="66"/>
      <c r="K1" s="66"/>
      <c r="L1" s="66"/>
      <c r="M1" s="66"/>
      <c r="N1" s="66"/>
      <c r="O1" s="66"/>
    </row>
    <row r="2" spans="1:15">
      <c r="A2" s="67" t="s">
        <v>60</v>
      </c>
      <c r="B2" s="66" t="s">
        <v>61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215" t="e" vm="1">
        <v>#VALUE!</v>
      </c>
      <c r="N2" s="215"/>
      <c r="O2" s="66"/>
    </row>
    <row r="3" spans="1:15">
      <c r="A3" s="67" t="s">
        <v>62</v>
      </c>
      <c r="B3" s="68">
        <v>3000000</v>
      </c>
      <c r="C3" s="69"/>
      <c r="D3" s="66"/>
      <c r="E3" s="66"/>
      <c r="F3" s="66"/>
      <c r="G3" s="66"/>
      <c r="H3" s="66" t="s">
        <v>63</v>
      </c>
      <c r="I3" s="70">
        <f ca="1" xml:space="preserve"> TODAY()</f>
        <v>46312</v>
      </c>
      <c r="J3" s="66"/>
      <c r="K3" s="66"/>
      <c r="L3" s="66"/>
      <c r="M3" s="215"/>
      <c r="N3" s="215"/>
      <c r="O3" s="66"/>
    </row>
    <row r="4" spans="1:15">
      <c r="A4" s="216"/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66"/>
      <c r="N4" s="66"/>
      <c r="O4" s="66"/>
    </row>
    <row r="5" spans="1:15">
      <c r="A5" s="187" t="s">
        <v>64</v>
      </c>
      <c r="B5" s="188"/>
      <c r="C5" s="187" t="s">
        <v>65</v>
      </c>
      <c r="D5" s="188"/>
      <c r="E5" s="187" t="s">
        <v>66</v>
      </c>
      <c r="F5" s="188"/>
      <c r="G5" s="187" t="s">
        <v>67</v>
      </c>
      <c r="H5" s="189"/>
      <c r="I5" s="188"/>
      <c r="J5" s="187" t="s">
        <v>68</v>
      </c>
      <c r="K5" s="189"/>
      <c r="L5" s="188"/>
      <c r="M5" s="187" t="s">
        <v>12</v>
      </c>
      <c r="N5" s="188"/>
      <c r="O5" s="66"/>
    </row>
    <row r="6" spans="1:15">
      <c r="A6" s="203">
        <v>80000</v>
      </c>
      <c r="B6" s="204"/>
      <c r="C6" s="205">
        <v>2</v>
      </c>
      <c r="D6" s="206"/>
      <c r="E6" s="207">
        <v>7.0000000000000007E-2</v>
      </c>
      <c r="F6" s="208"/>
      <c r="G6" s="209">
        <v>4000</v>
      </c>
      <c r="H6" s="210"/>
      <c r="I6" s="211"/>
      <c r="J6" s="209">
        <v>1480000</v>
      </c>
      <c r="K6" s="210"/>
      <c r="L6" s="211"/>
      <c r="M6" s="212">
        <v>1410160</v>
      </c>
      <c r="N6" s="213"/>
      <c r="O6" s="71">
        <f>M6-J6</f>
        <v>-69840</v>
      </c>
    </row>
    <row r="7" spans="1:15">
      <c r="A7" s="200" t="s">
        <v>69</v>
      </c>
      <c r="B7" s="201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66"/>
    </row>
    <row r="8" spans="1:15">
      <c r="A8" s="72" t="s">
        <v>70</v>
      </c>
      <c r="B8" s="73" t="s">
        <v>71</v>
      </c>
      <c r="C8" s="165">
        <v>0.54166666666666663</v>
      </c>
      <c r="D8" s="166"/>
      <c r="E8" s="190">
        <v>0.625</v>
      </c>
      <c r="F8" s="191"/>
      <c r="G8" s="190">
        <v>0.70833333333333337</v>
      </c>
      <c r="H8" s="192"/>
      <c r="I8" s="191"/>
      <c r="J8" s="165">
        <v>0.79166666666666663</v>
      </c>
      <c r="K8" s="193"/>
      <c r="L8" s="166"/>
      <c r="M8" s="165">
        <v>0.875</v>
      </c>
      <c r="N8" s="166"/>
      <c r="O8" s="66"/>
    </row>
    <row r="9" spans="1:15">
      <c r="A9" s="72" t="s">
        <v>72</v>
      </c>
      <c r="B9" s="72" t="s">
        <v>73</v>
      </c>
      <c r="C9" s="194"/>
      <c r="D9" s="195"/>
      <c r="E9" s="194"/>
      <c r="F9" s="195"/>
      <c r="G9" s="194"/>
      <c r="H9" s="198"/>
      <c r="I9" s="195"/>
      <c r="J9" s="194"/>
      <c r="K9" s="198"/>
      <c r="L9" s="195"/>
      <c r="M9" s="194"/>
      <c r="N9" s="195"/>
      <c r="O9" s="66"/>
    </row>
    <row r="10" spans="1:15">
      <c r="A10" s="73" t="s">
        <v>74</v>
      </c>
      <c r="B10" s="72"/>
      <c r="C10" s="196"/>
      <c r="D10" s="197"/>
      <c r="E10" s="196"/>
      <c r="F10" s="197"/>
      <c r="G10" s="196"/>
      <c r="H10" s="199"/>
      <c r="I10" s="197"/>
      <c r="J10" s="196"/>
      <c r="K10" s="199"/>
      <c r="L10" s="197"/>
      <c r="M10" s="196"/>
      <c r="N10" s="197"/>
      <c r="O10" s="66"/>
    </row>
    <row r="11" spans="1:15">
      <c r="A11" s="178"/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66"/>
    </row>
    <row r="12" spans="1:15">
      <c r="A12" s="187"/>
      <c r="B12" s="188"/>
      <c r="C12" s="165">
        <v>0.54166666666666663</v>
      </c>
      <c r="D12" s="166"/>
      <c r="E12" s="190">
        <v>0.625</v>
      </c>
      <c r="F12" s="191"/>
      <c r="G12" s="190">
        <v>0.70833333333333337</v>
      </c>
      <c r="H12" s="192"/>
      <c r="I12" s="191"/>
      <c r="J12" s="165">
        <v>0.79166666666666663</v>
      </c>
      <c r="K12" s="193"/>
      <c r="L12" s="166"/>
      <c r="M12" s="165">
        <v>0.875</v>
      </c>
      <c r="N12" s="166"/>
      <c r="O12" s="66"/>
    </row>
    <row r="13" spans="1:15" ht="24.6" customHeight="1">
      <c r="A13" s="187" t="s">
        <v>65</v>
      </c>
      <c r="B13" s="188"/>
      <c r="C13" s="155"/>
      <c r="D13" s="154"/>
      <c r="E13" s="155"/>
      <c r="F13" s="154"/>
      <c r="G13" s="187"/>
      <c r="H13" s="189"/>
      <c r="I13" s="188"/>
      <c r="J13" s="187"/>
      <c r="K13" s="189"/>
      <c r="L13" s="188"/>
      <c r="M13" s="155"/>
      <c r="N13" s="154"/>
      <c r="O13" s="66"/>
    </row>
    <row r="14" spans="1:15" ht="24.6" customHeight="1">
      <c r="A14" s="187" t="s">
        <v>67</v>
      </c>
      <c r="B14" s="188"/>
      <c r="C14" s="155"/>
      <c r="D14" s="154"/>
      <c r="E14" s="155"/>
      <c r="F14" s="154"/>
      <c r="G14" s="187"/>
      <c r="H14" s="189"/>
      <c r="I14" s="188"/>
      <c r="J14" s="187"/>
      <c r="K14" s="189"/>
      <c r="L14" s="188"/>
      <c r="M14" s="155"/>
      <c r="N14" s="154"/>
      <c r="O14" s="66"/>
    </row>
    <row r="15" spans="1:15" ht="24.6" customHeight="1">
      <c r="A15" s="187" t="s">
        <v>66</v>
      </c>
      <c r="B15" s="188"/>
      <c r="C15" s="155"/>
      <c r="D15" s="154"/>
      <c r="E15" s="155"/>
      <c r="F15" s="154"/>
      <c r="G15" s="187"/>
      <c r="H15" s="189"/>
      <c r="I15" s="188"/>
      <c r="J15" s="187"/>
      <c r="K15" s="189"/>
      <c r="L15" s="188"/>
      <c r="M15" s="155"/>
      <c r="N15" s="154"/>
      <c r="O15" s="66"/>
    </row>
    <row r="16" spans="1:15">
      <c r="A16" s="178" t="s">
        <v>75</v>
      </c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66"/>
    </row>
    <row r="17" spans="1:15">
      <c r="A17" s="180"/>
      <c r="B17" s="176"/>
      <c r="C17" s="181">
        <v>0.54166666666666663</v>
      </c>
      <c r="D17" s="182"/>
      <c r="E17" s="183">
        <v>0.625</v>
      </c>
      <c r="F17" s="184"/>
      <c r="G17" s="183">
        <v>0.70833333333333337</v>
      </c>
      <c r="H17" s="185"/>
      <c r="I17" s="184"/>
      <c r="J17" s="181">
        <v>0.79166666666666663</v>
      </c>
      <c r="K17" s="186"/>
      <c r="L17" s="182"/>
      <c r="M17" s="181">
        <v>0.875</v>
      </c>
      <c r="N17" s="182"/>
      <c r="O17" s="66"/>
    </row>
    <row r="18" spans="1:15" ht="20.399999999999999" customHeight="1">
      <c r="A18" s="173" t="s">
        <v>76</v>
      </c>
      <c r="B18" s="174"/>
      <c r="C18" s="175"/>
      <c r="D18" s="176"/>
      <c r="E18" s="175"/>
      <c r="F18" s="176"/>
      <c r="G18" s="173"/>
      <c r="H18" s="177"/>
      <c r="I18" s="174"/>
      <c r="J18" s="173"/>
      <c r="K18" s="177"/>
      <c r="L18" s="174"/>
      <c r="M18" s="175"/>
      <c r="N18" s="176"/>
      <c r="O18" s="66"/>
    </row>
    <row r="19" spans="1:15" ht="20.399999999999999" customHeight="1">
      <c r="A19" s="173" t="s">
        <v>77</v>
      </c>
      <c r="B19" s="174"/>
      <c r="C19" s="175"/>
      <c r="D19" s="176"/>
      <c r="E19" s="175"/>
      <c r="F19" s="176"/>
      <c r="G19" s="173"/>
      <c r="H19" s="177"/>
      <c r="I19" s="174"/>
      <c r="J19" s="173"/>
      <c r="K19" s="177"/>
      <c r="L19" s="174"/>
      <c r="M19" s="175"/>
      <c r="N19" s="176"/>
      <c r="O19" s="66"/>
    </row>
    <row r="20" spans="1:15">
      <c r="A20" s="168" t="s">
        <v>78</v>
      </c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66"/>
    </row>
    <row r="21" spans="1:15">
      <c r="A21" s="169" t="s">
        <v>79</v>
      </c>
      <c r="B21" s="169" t="s">
        <v>80</v>
      </c>
      <c r="C21" s="169" t="s">
        <v>64</v>
      </c>
      <c r="D21" s="169" t="s">
        <v>81</v>
      </c>
      <c r="E21" s="171" t="s">
        <v>82</v>
      </c>
      <c r="F21" s="172"/>
      <c r="G21" s="171" t="s">
        <v>82</v>
      </c>
      <c r="H21" s="172"/>
      <c r="I21" s="171" t="s">
        <v>82</v>
      </c>
      <c r="J21" s="172"/>
      <c r="K21" s="171" t="s">
        <v>82</v>
      </c>
      <c r="L21" s="172"/>
      <c r="M21" s="171" t="s">
        <v>82</v>
      </c>
      <c r="N21" s="172"/>
      <c r="O21" s="66"/>
    </row>
    <row r="22" spans="1:15">
      <c r="A22" s="170"/>
      <c r="B22" s="170"/>
      <c r="C22" s="170"/>
      <c r="D22" s="170"/>
      <c r="E22" s="165">
        <v>0.54166666666666663</v>
      </c>
      <c r="F22" s="166"/>
      <c r="G22" s="165">
        <v>0.625</v>
      </c>
      <c r="H22" s="166"/>
      <c r="I22" s="165">
        <v>0.70833333333333337</v>
      </c>
      <c r="J22" s="166"/>
      <c r="K22" s="165">
        <v>0.79166666666666663</v>
      </c>
      <c r="L22" s="166"/>
      <c r="M22" s="165">
        <v>0.875</v>
      </c>
      <c r="N22" s="166"/>
      <c r="O22" s="66"/>
    </row>
    <row r="23" spans="1:15" ht="42.3" customHeight="1">
      <c r="A23" s="74" t="s">
        <v>83</v>
      </c>
      <c r="B23" s="75"/>
      <c r="C23" s="75">
        <v>16000</v>
      </c>
      <c r="D23" s="76" t="s">
        <v>84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66"/>
    </row>
    <row r="24" spans="1:15" ht="42.3" customHeight="1">
      <c r="A24" s="74" t="s">
        <v>85</v>
      </c>
      <c r="B24" s="75"/>
      <c r="C24" s="75">
        <v>32000</v>
      </c>
      <c r="D24" s="78" t="s">
        <v>175</v>
      </c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66"/>
    </row>
    <row r="25" spans="1:15" ht="42.3" customHeight="1">
      <c r="A25" s="74" t="s">
        <v>86</v>
      </c>
      <c r="B25" s="78"/>
      <c r="C25" s="75">
        <v>16000</v>
      </c>
      <c r="D25" s="78" t="s">
        <v>87</v>
      </c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66"/>
    </row>
    <row r="26" spans="1:15" ht="42.3" customHeight="1">
      <c r="A26" s="74" t="s">
        <v>88</v>
      </c>
      <c r="B26" s="75"/>
      <c r="C26" s="75" t="s">
        <v>177</v>
      </c>
      <c r="D26" s="76" t="s">
        <v>176</v>
      </c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66"/>
    </row>
    <row r="27" spans="1:15" ht="42.3" customHeight="1">
      <c r="A27" s="74" t="s">
        <v>89</v>
      </c>
      <c r="B27" s="75"/>
      <c r="C27" s="75">
        <v>16000</v>
      </c>
      <c r="D27" s="76" t="s">
        <v>90</v>
      </c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66"/>
    </row>
    <row r="28" spans="1:15" ht="42.3" customHeight="1">
      <c r="A28" s="74"/>
      <c r="B28" s="75"/>
      <c r="C28" s="75"/>
      <c r="D28" s="76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66"/>
    </row>
    <row r="29" spans="1:15">
      <c r="A29" s="80" t="s">
        <v>91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</row>
    <row r="30" spans="1:15">
      <c r="A30" s="167" t="s">
        <v>92</v>
      </c>
      <c r="B30" s="167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66"/>
    </row>
    <row r="31" spans="1:15">
      <c r="A31" s="158" t="s">
        <v>93</v>
      </c>
      <c r="B31" s="159"/>
      <c r="C31" s="159"/>
      <c r="D31" s="159"/>
      <c r="E31" s="159"/>
      <c r="F31" s="160"/>
      <c r="G31" s="158" t="s">
        <v>94</v>
      </c>
      <c r="H31" s="153"/>
      <c r="I31" s="153"/>
      <c r="J31" s="153"/>
      <c r="K31" s="153"/>
      <c r="L31" s="153"/>
      <c r="M31" s="153"/>
      <c r="N31" s="154"/>
      <c r="O31" s="66"/>
    </row>
    <row r="32" spans="1:15">
      <c r="A32" s="152" t="s">
        <v>182</v>
      </c>
      <c r="B32" s="161"/>
      <c r="C32" s="161"/>
      <c r="D32" s="161"/>
      <c r="E32" s="161"/>
      <c r="F32" s="162"/>
      <c r="G32" s="155" t="s">
        <v>179</v>
      </c>
      <c r="H32" s="153"/>
      <c r="I32" s="153"/>
      <c r="J32" s="153"/>
      <c r="K32" s="153"/>
      <c r="L32" s="153"/>
      <c r="M32" s="153"/>
      <c r="N32" s="154"/>
      <c r="O32" s="66"/>
    </row>
    <row r="33" spans="1:15">
      <c r="A33" s="163" t="s">
        <v>95</v>
      </c>
      <c r="B33" s="164"/>
      <c r="C33" s="164"/>
      <c r="D33" s="164"/>
      <c r="E33" s="164"/>
      <c r="F33" s="164"/>
      <c r="G33" s="155"/>
      <c r="H33" s="153"/>
      <c r="I33" s="153"/>
      <c r="J33" s="153"/>
      <c r="K33" s="153"/>
      <c r="L33" s="153"/>
      <c r="M33" s="153"/>
      <c r="N33" s="154"/>
      <c r="O33" s="66"/>
    </row>
    <row r="34" spans="1:15" ht="14.25" customHeight="1">
      <c r="A34" s="152" t="s">
        <v>180</v>
      </c>
      <c r="B34" s="153"/>
      <c r="C34" s="153"/>
      <c r="D34" s="153"/>
      <c r="E34" s="153"/>
      <c r="F34" s="154"/>
      <c r="G34" s="155"/>
      <c r="H34" s="153"/>
      <c r="I34" s="153"/>
      <c r="J34" s="153"/>
      <c r="K34" s="153"/>
      <c r="L34" s="153"/>
      <c r="M34" s="153"/>
      <c r="N34" s="154"/>
      <c r="O34" s="66"/>
    </row>
    <row r="35" spans="1:15" ht="14.25" customHeight="1">
      <c r="A35" s="156" t="s">
        <v>181</v>
      </c>
      <c r="B35" s="157"/>
      <c r="C35" s="157"/>
      <c r="D35" s="157"/>
      <c r="E35" s="157"/>
      <c r="F35" s="157"/>
      <c r="G35" s="155"/>
      <c r="H35" s="153"/>
      <c r="I35" s="153"/>
      <c r="J35" s="153"/>
      <c r="K35" s="153"/>
      <c r="L35" s="153"/>
      <c r="M35" s="153"/>
      <c r="N35" s="154"/>
      <c r="O35" s="66"/>
    </row>
    <row r="36" spans="1:15" ht="14.25" customHeight="1">
      <c r="A36" s="156" t="s">
        <v>178</v>
      </c>
      <c r="B36" s="157"/>
      <c r="C36" s="157"/>
      <c r="D36" s="157"/>
      <c r="E36" s="157"/>
      <c r="F36" s="157"/>
      <c r="G36" s="81"/>
      <c r="H36" s="81"/>
      <c r="I36" s="81"/>
      <c r="J36" s="81"/>
      <c r="K36" s="81"/>
      <c r="L36" s="81"/>
      <c r="M36" s="81"/>
      <c r="N36" s="82"/>
      <c r="O36" s="66"/>
    </row>
    <row r="37" spans="1:15">
      <c r="A37" s="155" t="s">
        <v>96</v>
      </c>
      <c r="B37" s="153"/>
      <c r="C37" s="153"/>
      <c r="D37" s="153"/>
      <c r="E37" s="153"/>
      <c r="F37" s="154"/>
      <c r="G37" s="155" t="s">
        <v>97</v>
      </c>
      <c r="H37" s="153"/>
      <c r="I37" s="153"/>
      <c r="J37" s="153"/>
      <c r="K37" s="153"/>
      <c r="L37" s="153"/>
      <c r="M37" s="153"/>
      <c r="N37" s="154"/>
      <c r="O37" s="66"/>
    </row>
    <row r="38" spans="1:15">
      <c r="A38" s="141" t="s">
        <v>98</v>
      </c>
      <c r="B38" s="142"/>
      <c r="C38" s="142"/>
      <c r="D38" s="142"/>
      <c r="E38" s="142"/>
      <c r="F38" s="83" t="s">
        <v>99</v>
      </c>
      <c r="G38" s="139" t="s">
        <v>98</v>
      </c>
      <c r="H38" s="140"/>
      <c r="I38" s="140"/>
      <c r="J38" s="140"/>
      <c r="K38" s="140"/>
      <c r="L38" s="140"/>
      <c r="M38" s="140"/>
      <c r="N38" s="83" t="s">
        <v>99</v>
      </c>
      <c r="O38" s="66"/>
    </row>
    <row r="39" spans="1:15" ht="31.5" customHeight="1">
      <c r="A39" s="143" t="s">
        <v>100</v>
      </c>
      <c r="B39" s="144"/>
      <c r="C39" s="144"/>
      <c r="D39" s="144"/>
      <c r="E39" s="145"/>
      <c r="F39" s="84"/>
      <c r="G39" s="146" t="s">
        <v>100</v>
      </c>
      <c r="H39" s="147"/>
      <c r="I39" s="147"/>
      <c r="J39" s="147"/>
      <c r="K39" s="147"/>
      <c r="L39" s="147"/>
      <c r="M39" s="148"/>
      <c r="N39" s="84"/>
      <c r="O39" s="66"/>
    </row>
    <row r="40" spans="1:15" ht="31.5" customHeight="1">
      <c r="A40" s="143" t="s">
        <v>101</v>
      </c>
      <c r="B40" s="144"/>
      <c r="C40" s="144"/>
      <c r="D40" s="144"/>
      <c r="E40" s="145"/>
      <c r="F40" s="84"/>
      <c r="G40" s="146" t="s">
        <v>101</v>
      </c>
      <c r="H40" s="147"/>
      <c r="I40" s="147"/>
      <c r="J40" s="147"/>
      <c r="K40" s="147"/>
      <c r="L40" s="147"/>
      <c r="M40" s="148"/>
      <c r="N40" s="84"/>
      <c r="O40" s="66"/>
    </row>
    <row r="41" spans="1:15" ht="31.5" customHeight="1">
      <c r="A41" s="143" t="s">
        <v>102</v>
      </c>
      <c r="B41" s="144"/>
      <c r="C41" s="144"/>
      <c r="D41" s="144"/>
      <c r="E41" s="145"/>
      <c r="F41" s="84"/>
      <c r="G41" s="146" t="s">
        <v>102</v>
      </c>
      <c r="H41" s="147"/>
      <c r="I41" s="147"/>
      <c r="J41" s="147"/>
      <c r="K41" s="147"/>
      <c r="L41" s="147"/>
      <c r="M41" s="148"/>
      <c r="N41" s="84"/>
      <c r="O41" s="66"/>
    </row>
    <row r="42" spans="1:15" ht="31.5" customHeight="1">
      <c r="A42" s="143" t="s">
        <v>103</v>
      </c>
      <c r="B42" s="144"/>
      <c r="C42" s="144"/>
      <c r="D42" s="144"/>
      <c r="E42" s="145"/>
      <c r="F42" s="84"/>
      <c r="G42" s="146" t="s">
        <v>103</v>
      </c>
      <c r="H42" s="147"/>
      <c r="I42" s="147"/>
      <c r="J42" s="147"/>
      <c r="K42" s="147"/>
      <c r="L42" s="147"/>
      <c r="M42" s="148"/>
      <c r="N42" s="84"/>
      <c r="O42" s="66"/>
    </row>
    <row r="43" spans="1:15" ht="31.5" customHeight="1">
      <c r="A43" s="141" t="s">
        <v>104</v>
      </c>
      <c r="B43" s="142"/>
      <c r="C43" s="142"/>
      <c r="D43" s="142"/>
      <c r="E43" s="142"/>
      <c r="F43" s="83" t="s">
        <v>99</v>
      </c>
      <c r="G43" s="141" t="s">
        <v>104</v>
      </c>
      <c r="H43" s="142"/>
      <c r="I43" s="142"/>
      <c r="J43" s="142"/>
      <c r="K43" s="142"/>
      <c r="L43" s="142"/>
      <c r="M43" s="142"/>
      <c r="N43" s="83" t="s">
        <v>99</v>
      </c>
      <c r="O43" s="85"/>
    </row>
    <row r="44" spans="1:15" ht="31.5" customHeight="1">
      <c r="A44" s="143" t="s">
        <v>105</v>
      </c>
      <c r="B44" s="144"/>
      <c r="C44" s="144"/>
      <c r="D44" s="144"/>
      <c r="E44" s="145"/>
      <c r="F44" s="84"/>
      <c r="G44" s="149" t="s">
        <v>105</v>
      </c>
      <c r="H44" s="150"/>
      <c r="I44" s="150"/>
      <c r="J44" s="150"/>
      <c r="K44" s="150"/>
      <c r="L44" s="150"/>
      <c r="M44" s="151"/>
      <c r="N44" s="84"/>
      <c r="O44" s="66"/>
    </row>
    <row r="45" spans="1:15" ht="31.5" customHeight="1">
      <c r="A45" s="143" t="s">
        <v>106</v>
      </c>
      <c r="B45" s="144"/>
      <c r="C45" s="144"/>
      <c r="D45" s="144"/>
      <c r="E45" s="145"/>
      <c r="F45" s="84"/>
      <c r="G45" s="146" t="s">
        <v>106</v>
      </c>
      <c r="H45" s="147"/>
      <c r="I45" s="147"/>
      <c r="J45" s="147"/>
      <c r="K45" s="147"/>
      <c r="L45" s="147"/>
      <c r="M45" s="148"/>
      <c r="N45" s="84"/>
      <c r="O45" s="66"/>
    </row>
    <row r="46" spans="1:15" ht="31.5" customHeight="1">
      <c r="A46" s="143" t="s">
        <v>107</v>
      </c>
      <c r="B46" s="144"/>
      <c r="C46" s="144"/>
      <c r="D46" s="144"/>
      <c r="E46" s="145"/>
      <c r="F46" s="84"/>
      <c r="G46" s="146" t="s">
        <v>107</v>
      </c>
      <c r="H46" s="147"/>
      <c r="I46" s="147"/>
      <c r="J46" s="147"/>
      <c r="K46" s="147"/>
      <c r="L46" s="147"/>
      <c r="M46" s="148"/>
      <c r="N46" s="84"/>
      <c r="O46" s="66"/>
    </row>
    <row r="47" spans="1:15" ht="31.5" customHeight="1">
      <c r="A47" s="141" t="s">
        <v>108</v>
      </c>
      <c r="B47" s="142"/>
      <c r="C47" s="142"/>
      <c r="D47" s="142"/>
      <c r="E47" s="142"/>
      <c r="F47" s="83" t="s">
        <v>99</v>
      </c>
      <c r="G47" s="141" t="s">
        <v>108</v>
      </c>
      <c r="H47" s="142"/>
      <c r="I47" s="142"/>
      <c r="J47" s="142"/>
      <c r="K47" s="142"/>
      <c r="L47" s="142"/>
      <c r="M47" s="142"/>
      <c r="N47" s="83" t="s">
        <v>99</v>
      </c>
      <c r="O47" s="85"/>
    </row>
    <row r="48" spans="1:15" ht="31.5" customHeight="1">
      <c r="A48" s="143" t="s">
        <v>109</v>
      </c>
      <c r="B48" s="144"/>
      <c r="C48" s="144"/>
      <c r="D48" s="144"/>
      <c r="E48" s="145"/>
      <c r="F48" s="84"/>
      <c r="G48" s="146" t="s">
        <v>110</v>
      </c>
      <c r="H48" s="147"/>
      <c r="I48" s="147"/>
      <c r="J48" s="147"/>
      <c r="K48" s="147"/>
      <c r="L48" s="147"/>
      <c r="M48" s="148"/>
      <c r="N48" s="84"/>
      <c r="O48" s="66"/>
    </row>
    <row r="49" spans="1:15" ht="31.5" customHeight="1">
      <c r="A49" s="143" t="s">
        <v>111</v>
      </c>
      <c r="B49" s="144"/>
      <c r="C49" s="144"/>
      <c r="D49" s="144"/>
      <c r="E49" s="145"/>
      <c r="F49" s="84"/>
      <c r="G49" s="146" t="s">
        <v>111</v>
      </c>
      <c r="H49" s="147"/>
      <c r="I49" s="147"/>
      <c r="J49" s="147"/>
      <c r="K49" s="147"/>
      <c r="L49" s="147"/>
      <c r="M49" s="148"/>
      <c r="N49" s="84"/>
      <c r="O49" s="66"/>
    </row>
    <row r="50" spans="1:15" ht="31.5" customHeight="1">
      <c r="A50" s="143" t="s">
        <v>112</v>
      </c>
      <c r="B50" s="144"/>
      <c r="C50" s="144"/>
      <c r="D50" s="144"/>
      <c r="E50" s="145"/>
      <c r="F50" s="84"/>
      <c r="G50" s="146" t="s">
        <v>112</v>
      </c>
      <c r="H50" s="147"/>
      <c r="I50" s="147"/>
      <c r="J50" s="147"/>
      <c r="K50" s="147"/>
      <c r="L50" s="147"/>
      <c r="M50" s="148"/>
      <c r="N50" s="84"/>
      <c r="O50" s="66"/>
    </row>
    <row r="51" spans="1:15" ht="31.5" customHeight="1">
      <c r="A51" s="139" t="s">
        <v>113</v>
      </c>
      <c r="B51" s="140"/>
      <c r="C51" s="140"/>
      <c r="D51" s="140"/>
      <c r="E51" s="140"/>
      <c r="F51" s="83" t="s">
        <v>99</v>
      </c>
      <c r="G51" s="139" t="s">
        <v>113</v>
      </c>
      <c r="H51" s="140"/>
      <c r="I51" s="140"/>
      <c r="J51" s="140"/>
      <c r="K51" s="140"/>
      <c r="L51" s="140"/>
      <c r="M51" s="140"/>
      <c r="N51" s="83" t="s">
        <v>99</v>
      </c>
      <c r="O51" s="85"/>
    </row>
    <row r="52" spans="1:15" ht="31.5" customHeight="1">
      <c r="A52" s="143" t="s">
        <v>114</v>
      </c>
      <c r="B52" s="144"/>
      <c r="C52" s="144"/>
      <c r="D52" s="144"/>
      <c r="E52" s="145"/>
      <c r="F52" s="84"/>
      <c r="G52" s="146" t="s">
        <v>114</v>
      </c>
      <c r="H52" s="147"/>
      <c r="I52" s="147"/>
      <c r="J52" s="147"/>
      <c r="K52" s="147"/>
      <c r="L52" s="147"/>
      <c r="M52" s="148"/>
      <c r="N52" s="84"/>
      <c r="O52" s="66"/>
    </row>
    <row r="53" spans="1:15" ht="31.5" customHeight="1">
      <c r="A53" s="143" t="s">
        <v>115</v>
      </c>
      <c r="B53" s="144"/>
      <c r="C53" s="144"/>
      <c r="D53" s="144"/>
      <c r="E53" s="145"/>
      <c r="F53" s="84"/>
      <c r="G53" s="146" t="s">
        <v>115</v>
      </c>
      <c r="H53" s="147"/>
      <c r="I53" s="147"/>
      <c r="J53" s="147"/>
      <c r="K53" s="147"/>
      <c r="L53" s="147"/>
      <c r="M53" s="148"/>
      <c r="N53" s="84"/>
      <c r="O53" s="66"/>
    </row>
    <row r="54" spans="1:15" ht="31.5" customHeight="1">
      <c r="A54" s="143" t="s">
        <v>116</v>
      </c>
      <c r="B54" s="144"/>
      <c r="C54" s="144"/>
      <c r="D54" s="144"/>
      <c r="E54" s="145"/>
      <c r="F54" s="84"/>
      <c r="G54" s="146" t="s">
        <v>116</v>
      </c>
      <c r="H54" s="147"/>
      <c r="I54" s="147"/>
      <c r="J54" s="147"/>
      <c r="K54" s="147"/>
      <c r="L54" s="147"/>
      <c r="M54" s="148"/>
      <c r="N54" s="84"/>
      <c r="O54" s="66"/>
    </row>
    <row r="55" spans="1:15" ht="31.5" customHeight="1">
      <c r="A55" s="143" t="s">
        <v>117</v>
      </c>
      <c r="B55" s="144"/>
      <c r="C55" s="144"/>
      <c r="D55" s="144"/>
      <c r="E55" s="145"/>
      <c r="F55" s="84"/>
      <c r="G55" s="146" t="s">
        <v>117</v>
      </c>
      <c r="H55" s="147"/>
      <c r="I55" s="147"/>
      <c r="J55" s="147"/>
      <c r="K55" s="147"/>
      <c r="L55" s="147"/>
      <c r="M55" s="148"/>
      <c r="N55" s="84"/>
      <c r="O55" s="66"/>
    </row>
    <row r="56" spans="1:15" ht="31.5" customHeight="1">
      <c r="A56" s="143" t="s">
        <v>118</v>
      </c>
      <c r="B56" s="144"/>
      <c r="C56" s="144"/>
      <c r="D56" s="144"/>
      <c r="E56" s="145"/>
      <c r="F56" s="84"/>
      <c r="G56" s="146" t="s">
        <v>118</v>
      </c>
      <c r="H56" s="147"/>
      <c r="I56" s="147"/>
      <c r="J56" s="147"/>
      <c r="K56" s="147"/>
      <c r="L56" s="147"/>
      <c r="M56" s="148"/>
      <c r="N56" s="84"/>
      <c r="O56" s="66"/>
    </row>
    <row r="57" spans="1:15" ht="31.5" customHeight="1">
      <c r="A57" s="141" t="s">
        <v>119</v>
      </c>
      <c r="B57" s="142"/>
      <c r="C57" s="142"/>
      <c r="D57" s="142"/>
      <c r="E57" s="142"/>
      <c r="F57" s="83" t="s">
        <v>99</v>
      </c>
      <c r="G57" s="142" t="s">
        <v>119</v>
      </c>
      <c r="H57" s="142"/>
      <c r="I57" s="142"/>
      <c r="J57" s="142"/>
      <c r="K57" s="142"/>
      <c r="L57" s="142"/>
      <c r="M57" s="142"/>
      <c r="N57" s="83" t="s">
        <v>99</v>
      </c>
      <c r="O57" s="85"/>
    </row>
    <row r="58" spans="1:15" ht="31.5" customHeight="1">
      <c r="A58" s="143" t="s">
        <v>120</v>
      </c>
      <c r="B58" s="144"/>
      <c r="C58" s="144"/>
      <c r="D58" s="144"/>
      <c r="E58" s="145"/>
      <c r="F58" s="84"/>
      <c r="G58" s="146" t="s">
        <v>120</v>
      </c>
      <c r="H58" s="147"/>
      <c r="I58" s="147"/>
      <c r="J58" s="147"/>
      <c r="K58" s="147"/>
      <c r="L58" s="147"/>
      <c r="M58" s="148"/>
      <c r="N58" s="84"/>
      <c r="O58" s="66"/>
    </row>
    <row r="59" spans="1:15" ht="31.5" customHeight="1">
      <c r="A59" s="143" t="s">
        <v>117</v>
      </c>
      <c r="B59" s="144"/>
      <c r="C59" s="144"/>
      <c r="D59" s="144"/>
      <c r="E59" s="145"/>
      <c r="F59" s="84"/>
      <c r="G59" s="146" t="s">
        <v>117</v>
      </c>
      <c r="H59" s="147"/>
      <c r="I59" s="147"/>
      <c r="J59" s="147"/>
      <c r="K59" s="147"/>
      <c r="L59" s="147"/>
      <c r="M59" s="148"/>
      <c r="N59" s="84"/>
      <c r="O59" s="66"/>
    </row>
    <row r="60" spans="1:15" ht="31.5" customHeight="1">
      <c r="A60" s="143" t="s">
        <v>121</v>
      </c>
      <c r="B60" s="144"/>
      <c r="C60" s="144"/>
      <c r="D60" s="144"/>
      <c r="E60" s="145"/>
      <c r="F60" s="84"/>
      <c r="G60" s="146" t="s">
        <v>122</v>
      </c>
      <c r="H60" s="147"/>
      <c r="I60" s="147"/>
      <c r="J60" s="147"/>
      <c r="K60" s="147"/>
      <c r="L60" s="147"/>
      <c r="M60" s="148"/>
      <c r="N60" s="84"/>
      <c r="O60" s="66"/>
    </row>
    <row r="61" spans="1:15" ht="31.5" customHeight="1">
      <c r="A61" s="143" t="s">
        <v>123</v>
      </c>
      <c r="B61" s="144"/>
      <c r="C61" s="144"/>
      <c r="D61" s="144"/>
      <c r="E61" s="145"/>
      <c r="F61" s="84"/>
      <c r="G61" s="146" t="s">
        <v>123</v>
      </c>
      <c r="H61" s="147"/>
      <c r="I61" s="147"/>
      <c r="J61" s="147"/>
      <c r="K61" s="147"/>
      <c r="L61" s="147"/>
      <c r="M61" s="148"/>
      <c r="N61" s="84"/>
      <c r="O61" s="66"/>
    </row>
    <row r="62" spans="1:15" ht="31.5" customHeight="1">
      <c r="A62" s="141" t="s">
        <v>124</v>
      </c>
      <c r="B62" s="142"/>
      <c r="C62" s="142"/>
      <c r="D62" s="142"/>
      <c r="E62" s="142"/>
      <c r="F62" s="83" t="s">
        <v>99</v>
      </c>
      <c r="G62" s="142" t="s">
        <v>124</v>
      </c>
      <c r="H62" s="142"/>
      <c r="I62" s="142"/>
      <c r="J62" s="142"/>
      <c r="K62" s="142"/>
      <c r="L62" s="142"/>
      <c r="M62" s="142"/>
      <c r="N62" s="83" t="s">
        <v>99</v>
      </c>
      <c r="O62" s="85"/>
    </row>
    <row r="63" spans="1:15" ht="31.5" customHeight="1">
      <c r="A63" s="143" t="s">
        <v>125</v>
      </c>
      <c r="B63" s="144"/>
      <c r="C63" s="144"/>
      <c r="D63" s="144"/>
      <c r="E63" s="145"/>
      <c r="F63" s="84"/>
      <c r="G63" s="146" t="s">
        <v>126</v>
      </c>
      <c r="H63" s="147"/>
      <c r="I63" s="147"/>
      <c r="J63" s="147"/>
      <c r="K63" s="147"/>
      <c r="L63" s="147"/>
      <c r="M63" s="148"/>
      <c r="N63" s="84"/>
      <c r="O63" s="85"/>
    </row>
    <row r="64" spans="1:15" ht="31.5" customHeight="1">
      <c r="A64" s="143" t="s">
        <v>127</v>
      </c>
      <c r="B64" s="144"/>
      <c r="C64" s="144"/>
      <c r="D64" s="144"/>
      <c r="E64" s="145"/>
      <c r="F64" s="84"/>
      <c r="G64" s="146" t="s">
        <v>127</v>
      </c>
      <c r="H64" s="147"/>
      <c r="I64" s="147"/>
      <c r="J64" s="147"/>
      <c r="K64" s="147"/>
      <c r="L64" s="147"/>
      <c r="M64" s="148"/>
      <c r="N64" s="84"/>
      <c r="O64" s="66"/>
    </row>
    <row r="65" spans="1:15" ht="31.5" customHeight="1">
      <c r="A65" s="139" t="s">
        <v>128</v>
      </c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83" t="s">
        <v>99</v>
      </c>
      <c r="O65" s="85"/>
    </row>
    <row r="66" spans="1:15" ht="31.5" customHeight="1">
      <c r="A66" s="136" t="s">
        <v>129</v>
      </c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8"/>
      <c r="N66" s="84"/>
      <c r="O66" s="66"/>
    </row>
    <row r="67" spans="1:15" ht="31.5" customHeight="1">
      <c r="A67" s="136" t="s">
        <v>130</v>
      </c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8"/>
      <c r="N67" s="84"/>
      <c r="O67" s="66"/>
    </row>
    <row r="68" spans="1:15" ht="31.5" customHeight="1">
      <c r="A68" s="136" t="s">
        <v>131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8"/>
      <c r="N68" s="84"/>
      <c r="O68" s="66"/>
    </row>
    <row r="69" spans="1:15" ht="31.5" customHeight="1">
      <c r="A69" s="136" t="s">
        <v>132</v>
      </c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8"/>
      <c r="N69" s="84"/>
      <c r="O69" s="66"/>
    </row>
    <row r="70" spans="1:15" ht="31.5" customHeight="1">
      <c r="A70" s="136" t="s">
        <v>133</v>
      </c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8"/>
      <c r="N70" s="84"/>
      <c r="O70" s="66"/>
    </row>
    <row r="71" spans="1:15" ht="31.5" customHeight="1">
      <c r="A71" s="136" t="s">
        <v>134</v>
      </c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8"/>
      <c r="N71" s="84"/>
      <c r="O71" s="66"/>
    </row>
  </sheetData>
  <mergeCells count="161">
    <mergeCell ref="C1:H1"/>
    <mergeCell ref="M2:N3"/>
    <mergeCell ref="A4:L4"/>
    <mergeCell ref="A5:B5"/>
    <mergeCell ref="C5:D5"/>
    <mergeCell ref="E5:F5"/>
    <mergeCell ref="G5:I5"/>
    <mergeCell ref="J5:L5"/>
    <mergeCell ref="M5:N5"/>
    <mergeCell ref="A7:B7"/>
    <mergeCell ref="C7:N7"/>
    <mergeCell ref="C8:D8"/>
    <mergeCell ref="E8:F8"/>
    <mergeCell ref="G8:I8"/>
    <mergeCell ref="J8:L8"/>
    <mergeCell ref="M8:N8"/>
    <mergeCell ref="A6:B6"/>
    <mergeCell ref="C6:D6"/>
    <mergeCell ref="E6:F6"/>
    <mergeCell ref="G6:I6"/>
    <mergeCell ref="J6:L6"/>
    <mergeCell ref="M6:N6"/>
    <mergeCell ref="A12:B12"/>
    <mergeCell ref="C12:D12"/>
    <mergeCell ref="E12:F12"/>
    <mergeCell ref="G12:I12"/>
    <mergeCell ref="J12:L12"/>
    <mergeCell ref="M12:N12"/>
    <mergeCell ref="C9:D10"/>
    <mergeCell ref="E9:F10"/>
    <mergeCell ref="G9:I10"/>
    <mergeCell ref="J9:L10"/>
    <mergeCell ref="M9:N10"/>
    <mergeCell ref="A11:N11"/>
    <mergeCell ref="A14:B14"/>
    <mergeCell ref="C14:D14"/>
    <mergeCell ref="E14:F14"/>
    <mergeCell ref="G14:I14"/>
    <mergeCell ref="J14:L14"/>
    <mergeCell ref="M14:N14"/>
    <mergeCell ref="A13:B13"/>
    <mergeCell ref="C13:D13"/>
    <mergeCell ref="E13:F13"/>
    <mergeCell ref="G13:I13"/>
    <mergeCell ref="J13:L13"/>
    <mergeCell ref="M13:N13"/>
    <mergeCell ref="A16:N16"/>
    <mergeCell ref="A17:B17"/>
    <mergeCell ref="C17:D17"/>
    <mergeCell ref="E17:F17"/>
    <mergeCell ref="G17:I17"/>
    <mergeCell ref="J17:L17"/>
    <mergeCell ref="M17:N17"/>
    <mergeCell ref="A15:B15"/>
    <mergeCell ref="C15:D15"/>
    <mergeCell ref="E15:F15"/>
    <mergeCell ref="G15:I15"/>
    <mergeCell ref="J15:L15"/>
    <mergeCell ref="M15:N15"/>
    <mergeCell ref="A19:B19"/>
    <mergeCell ref="C19:D19"/>
    <mergeCell ref="E19:F19"/>
    <mergeCell ref="G19:I19"/>
    <mergeCell ref="J19:L19"/>
    <mergeCell ref="M19:N19"/>
    <mergeCell ref="A18:B18"/>
    <mergeCell ref="C18:D18"/>
    <mergeCell ref="E18:F18"/>
    <mergeCell ref="G18:I18"/>
    <mergeCell ref="J18:L18"/>
    <mergeCell ref="M18:N18"/>
    <mergeCell ref="E22:F22"/>
    <mergeCell ref="G22:H22"/>
    <mergeCell ref="I22:J22"/>
    <mergeCell ref="K22:L22"/>
    <mergeCell ref="M22:N22"/>
    <mergeCell ref="A30:N30"/>
    <mergeCell ref="A20:N20"/>
    <mergeCell ref="A21:A22"/>
    <mergeCell ref="B21:B22"/>
    <mergeCell ref="C21:C22"/>
    <mergeCell ref="D21:D22"/>
    <mergeCell ref="E21:F21"/>
    <mergeCell ref="G21:H21"/>
    <mergeCell ref="I21:J21"/>
    <mergeCell ref="K21:L21"/>
    <mergeCell ref="M21:N21"/>
    <mergeCell ref="A34:F34"/>
    <mergeCell ref="G34:N34"/>
    <mergeCell ref="A35:F35"/>
    <mergeCell ref="G35:N35"/>
    <mergeCell ref="A36:F36"/>
    <mergeCell ref="A37:F37"/>
    <mergeCell ref="G37:N37"/>
    <mergeCell ref="A31:F31"/>
    <mergeCell ref="G31:N31"/>
    <mergeCell ref="A32:F32"/>
    <mergeCell ref="G32:N32"/>
    <mergeCell ref="A33:F33"/>
    <mergeCell ref="G33:N33"/>
    <mergeCell ref="A41:E41"/>
    <mergeCell ref="G41:M41"/>
    <mergeCell ref="A42:E42"/>
    <mergeCell ref="G42:M42"/>
    <mergeCell ref="A43:E43"/>
    <mergeCell ref="G43:M43"/>
    <mergeCell ref="A38:E38"/>
    <mergeCell ref="G38:M38"/>
    <mergeCell ref="A39:E39"/>
    <mergeCell ref="G39:M39"/>
    <mergeCell ref="A40:E40"/>
    <mergeCell ref="G40:M40"/>
    <mergeCell ref="A47:E47"/>
    <mergeCell ref="G47:M47"/>
    <mergeCell ref="A48:E48"/>
    <mergeCell ref="G48:M48"/>
    <mergeCell ref="A49:E49"/>
    <mergeCell ref="G49:M49"/>
    <mergeCell ref="A44:E44"/>
    <mergeCell ref="G44:M44"/>
    <mergeCell ref="A45:E45"/>
    <mergeCell ref="G45:M45"/>
    <mergeCell ref="A46:E46"/>
    <mergeCell ref="G46:M46"/>
    <mergeCell ref="A53:E53"/>
    <mergeCell ref="G53:M53"/>
    <mergeCell ref="A54:E54"/>
    <mergeCell ref="G54:M54"/>
    <mergeCell ref="A55:E55"/>
    <mergeCell ref="G55:M55"/>
    <mergeCell ref="A50:E50"/>
    <mergeCell ref="G50:M50"/>
    <mergeCell ref="A51:E51"/>
    <mergeCell ref="G51:M51"/>
    <mergeCell ref="A52:E52"/>
    <mergeCell ref="G52:M52"/>
    <mergeCell ref="A59:E59"/>
    <mergeCell ref="G59:M59"/>
    <mergeCell ref="A60:E60"/>
    <mergeCell ref="G60:M60"/>
    <mergeCell ref="A61:E61"/>
    <mergeCell ref="G61:M61"/>
    <mergeCell ref="A56:E56"/>
    <mergeCell ref="G56:M56"/>
    <mergeCell ref="A57:E57"/>
    <mergeCell ref="G57:M57"/>
    <mergeCell ref="A58:E58"/>
    <mergeCell ref="G58:M58"/>
    <mergeCell ref="A71:M71"/>
    <mergeCell ref="A65:M65"/>
    <mergeCell ref="A66:M66"/>
    <mergeCell ref="A67:M67"/>
    <mergeCell ref="A68:M68"/>
    <mergeCell ref="A69:M69"/>
    <mergeCell ref="A70:M70"/>
    <mergeCell ref="A62:E62"/>
    <mergeCell ref="G62:M62"/>
    <mergeCell ref="A63:E63"/>
    <mergeCell ref="G63:M63"/>
    <mergeCell ref="A64:E64"/>
    <mergeCell ref="G64:M64"/>
  </mergeCells>
  <pageMargins left="0.7" right="0.7" top="0.75" bottom="0.75" header="0.3" footer="0.3"/>
  <pageSetup paperSize="9" scale="35" orientation="portrait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F479-474F-457A-A248-5E2B9B94E871}">
  <sheetPr>
    <pageSetUpPr fitToPage="1"/>
  </sheetPr>
  <dimension ref="A1:CV379"/>
  <sheetViews>
    <sheetView topLeftCell="A3" zoomScale="55" zoomScaleNormal="55" workbookViewId="0">
      <selection activeCell="B1" sqref="A1:AA36"/>
    </sheetView>
  </sheetViews>
  <sheetFormatPr defaultColWidth="9.109375" defaultRowHeight="14.4"/>
  <cols>
    <col min="1" max="1" width="1.5546875" customWidth="1"/>
    <col min="2" max="2" width="27.88671875" style="124" customWidth="1"/>
    <col min="3" max="3" width="12.33203125" hidden="1" customWidth="1"/>
    <col min="4" max="4" width="17" customWidth="1"/>
    <col min="5" max="5" width="12.44140625" customWidth="1"/>
    <col min="6" max="6" width="16.33203125" customWidth="1"/>
    <col min="7" max="7" width="1.33203125" style="125" customWidth="1"/>
    <col min="8" max="9" width="10.33203125" customWidth="1"/>
    <col min="10" max="10" width="1.33203125" style="125" customWidth="1"/>
    <col min="11" max="11" width="16.33203125" customWidth="1"/>
    <col min="12" max="12" width="1.33203125" style="125" customWidth="1"/>
    <col min="13" max="14" width="10.33203125" customWidth="1"/>
    <col min="15" max="15" width="9.109375" hidden="1" customWidth="1"/>
    <col min="16" max="21" width="10.88671875" style="126" customWidth="1"/>
    <col min="22" max="22" width="15.109375" style="126" customWidth="1"/>
    <col min="23" max="26" width="10.88671875" style="126" customWidth="1"/>
    <col min="27" max="27" width="22.5546875" style="126" customWidth="1"/>
    <col min="28" max="28" width="9.109375" style="91"/>
    <col min="29" max="29" width="1.5546875" style="91" bestFit="1" customWidth="1"/>
    <col min="30" max="100" width="9.109375" style="91"/>
  </cols>
  <sheetData>
    <row r="1" spans="1:100" ht="22.35" customHeight="1">
      <c r="A1" s="86" t="s">
        <v>135</v>
      </c>
      <c r="B1" s="87" cm="1">
        <f t="array" aca="1" ref="B1" ca="1">+A1:AAA1:AA37</f>
        <v>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90"/>
    </row>
    <row r="2" spans="1:100" ht="22.35" customHeight="1">
      <c r="A2" s="92"/>
      <c r="B2" s="93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6"/>
    </row>
    <row r="3" spans="1:100" ht="22.35" customHeight="1">
      <c r="A3" s="92"/>
      <c r="B3" s="93"/>
      <c r="C3" s="94"/>
      <c r="D3" s="94"/>
      <c r="E3" s="253" t="s">
        <v>136</v>
      </c>
      <c r="F3" s="253"/>
      <c r="G3" s="253"/>
      <c r="H3" s="253"/>
      <c r="I3" s="253"/>
      <c r="J3" s="253"/>
      <c r="K3" s="253"/>
      <c r="L3" s="253"/>
      <c r="M3" s="253"/>
      <c r="N3" s="253"/>
      <c r="O3" s="97"/>
      <c r="P3" s="95"/>
      <c r="Q3" s="95"/>
      <c r="R3" s="254" t="s">
        <v>137</v>
      </c>
      <c r="S3" s="255"/>
      <c r="T3" s="256">
        <f ca="1">NOW()</f>
        <v>46312.435803356479</v>
      </c>
      <c r="U3" s="257"/>
      <c r="V3" s="257"/>
      <c r="W3" s="258"/>
      <c r="X3" s="98"/>
      <c r="Y3" s="98"/>
      <c r="Z3" s="95"/>
      <c r="AA3" s="96"/>
    </row>
    <row r="4" spans="1:100" ht="46.35" customHeight="1">
      <c r="A4" s="92"/>
      <c r="B4" s="93"/>
      <c r="C4" s="94"/>
      <c r="D4" s="94"/>
      <c r="E4" s="97"/>
      <c r="F4" s="94"/>
      <c r="G4" s="94"/>
      <c r="H4" s="94"/>
      <c r="I4" s="94"/>
      <c r="J4" s="94"/>
      <c r="K4" s="259" t="s">
        <v>138</v>
      </c>
      <c r="L4" s="259"/>
      <c r="M4" s="259"/>
      <c r="N4" s="259"/>
      <c r="O4" s="259"/>
      <c r="P4" s="259"/>
      <c r="Q4" s="259"/>
      <c r="R4" s="259"/>
      <c r="S4" s="259"/>
      <c r="T4" s="95"/>
      <c r="U4" s="99"/>
      <c r="V4" s="95"/>
      <c r="W4" s="95"/>
      <c r="X4" s="95"/>
      <c r="Y4" s="95"/>
      <c r="Z4" s="95"/>
      <c r="AA4" s="96"/>
    </row>
    <row r="5" spans="1:100" ht="23.4" customHeight="1">
      <c r="A5" s="264" t="s">
        <v>139</v>
      </c>
      <c r="B5" s="265"/>
      <c r="C5" s="265"/>
      <c r="D5" s="266" t="s">
        <v>140</v>
      </c>
      <c r="E5" s="267"/>
      <c r="F5" s="265" t="s">
        <v>141</v>
      </c>
      <c r="G5" s="265"/>
      <c r="H5" s="266" t="s">
        <v>142</v>
      </c>
      <c r="I5" s="267"/>
      <c r="J5" s="100"/>
      <c r="K5" s="265" t="s">
        <v>143</v>
      </c>
      <c r="L5" s="101"/>
      <c r="M5" s="266" t="s">
        <v>144</v>
      </c>
      <c r="N5" s="270"/>
      <c r="O5" s="270"/>
      <c r="P5" s="272" t="s">
        <v>145</v>
      </c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</row>
    <row r="6" spans="1:100" ht="23.4" customHeight="1">
      <c r="A6" s="264"/>
      <c r="B6" s="265"/>
      <c r="C6" s="265"/>
      <c r="D6" s="268" t="s">
        <v>146</v>
      </c>
      <c r="E6" s="269"/>
      <c r="F6" s="265"/>
      <c r="G6" s="265"/>
      <c r="H6" s="268"/>
      <c r="I6" s="269"/>
      <c r="J6" s="103"/>
      <c r="K6" s="265"/>
      <c r="L6" s="104"/>
      <c r="M6" s="268"/>
      <c r="N6" s="271"/>
      <c r="O6" s="271"/>
      <c r="P6" s="272" t="s">
        <v>147</v>
      </c>
      <c r="Q6" s="272"/>
      <c r="R6" s="272"/>
      <c r="S6" s="272"/>
      <c r="T6" s="272" t="s">
        <v>148</v>
      </c>
      <c r="U6" s="272"/>
      <c r="V6" s="272" t="s">
        <v>149</v>
      </c>
      <c r="W6" s="272"/>
      <c r="X6" s="272" t="s">
        <v>150</v>
      </c>
      <c r="Y6" s="272"/>
      <c r="Z6" s="272"/>
      <c r="AA6" s="102" t="s">
        <v>17</v>
      </c>
    </row>
    <row r="7" spans="1:100">
      <c r="A7" s="260"/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3"/>
    </row>
    <row r="8" spans="1:100" ht="23.4" customHeight="1">
      <c r="A8" s="231" t="s">
        <v>151</v>
      </c>
      <c r="B8" s="232"/>
      <c r="C8" s="105"/>
      <c r="D8" s="237">
        <v>0.39583333333333331</v>
      </c>
      <c r="E8" s="238"/>
      <c r="F8" s="241"/>
      <c r="G8" s="244"/>
      <c r="H8" s="219"/>
      <c r="I8" s="220"/>
      <c r="J8" s="106"/>
      <c r="K8" s="241"/>
      <c r="L8" s="107"/>
      <c r="M8" s="219"/>
      <c r="N8" s="220"/>
      <c r="O8" s="105"/>
      <c r="P8" s="225" t="s">
        <v>152</v>
      </c>
      <c r="Q8" s="225"/>
      <c r="R8" s="226"/>
      <c r="S8" s="227"/>
      <c r="T8" s="108" t="s">
        <v>153</v>
      </c>
      <c r="U8" s="109"/>
      <c r="V8" s="110" t="s">
        <v>154</v>
      </c>
      <c r="W8" s="111"/>
      <c r="X8" s="225" t="s">
        <v>155</v>
      </c>
      <c r="Y8" s="225"/>
      <c r="Z8" s="112"/>
      <c r="AA8" s="252" t="s">
        <v>156</v>
      </c>
    </row>
    <row r="9" spans="1:100" ht="23.4" customHeight="1">
      <c r="A9" s="233"/>
      <c r="B9" s="234"/>
      <c r="C9" s="105"/>
      <c r="D9" s="239"/>
      <c r="E9" s="240"/>
      <c r="F9" s="242"/>
      <c r="G9" s="244"/>
      <c r="H9" s="221"/>
      <c r="I9" s="222"/>
      <c r="J9" s="106"/>
      <c r="K9" s="245"/>
      <c r="L9" s="113"/>
      <c r="M9" s="221"/>
      <c r="N9" s="222"/>
      <c r="O9" s="105"/>
      <c r="P9" s="226" t="s">
        <v>157</v>
      </c>
      <c r="Q9" s="227"/>
      <c r="R9" s="226"/>
      <c r="S9" s="227"/>
      <c r="T9" s="108" t="s">
        <v>158</v>
      </c>
      <c r="U9" s="109"/>
      <c r="V9" s="108" t="s">
        <v>159</v>
      </c>
      <c r="W9" s="109"/>
      <c r="X9" s="225" t="s">
        <v>160</v>
      </c>
      <c r="Y9" s="225"/>
      <c r="Z9" s="112"/>
      <c r="AA9" s="252"/>
    </row>
    <row r="10" spans="1:100" ht="23.4" customHeight="1">
      <c r="A10" s="233"/>
      <c r="B10" s="234"/>
      <c r="C10" s="105"/>
      <c r="D10" s="237">
        <v>0.72916666666666663</v>
      </c>
      <c r="E10" s="238"/>
      <c r="F10" s="242"/>
      <c r="G10" s="244"/>
      <c r="H10" s="221"/>
      <c r="I10" s="222"/>
      <c r="J10" s="106"/>
      <c r="K10" s="245"/>
      <c r="L10" s="113"/>
      <c r="M10" s="221"/>
      <c r="N10" s="222"/>
      <c r="O10" s="105"/>
      <c r="P10" s="226" t="s">
        <v>161</v>
      </c>
      <c r="Q10" s="227"/>
      <c r="R10" s="226"/>
      <c r="S10" s="227"/>
      <c r="T10" s="108" t="s">
        <v>162</v>
      </c>
      <c r="U10" s="109"/>
      <c r="V10" s="108" t="s">
        <v>163</v>
      </c>
      <c r="W10" s="109"/>
      <c r="X10" s="225" t="s">
        <v>164</v>
      </c>
      <c r="Y10" s="225"/>
      <c r="Z10" s="112"/>
      <c r="AA10" s="252"/>
      <c r="AC10" s="91" t="s">
        <v>165</v>
      </c>
    </row>
    <row r="11" spans="1:100" ht="23.4" customHeight="1">
      <c r="A11" s="235"/>
      <c r="B11" s="236"/>
      <c r="C11" s="105"/>
      <c r="D11" s="239"/>
      <c r="E11" s="240"/>
      <c r="F11" s="243"/>
      <c r="G11" s="244"/>
      <c r="H11" s="223"/>
      <c r="I11" s="224"/>
      <c r="J11" s="106"/>
      <c r="K11" s="246"/>
      <c r="L11" s="114"/>
      <c r="M11" s="223"/>
      <c r="N11" s="224"/>
      <c r="O11" s="105"/>
      <c r="P11" s="217" t="s">
        <v>166</v>
      </c>
      <c r="Q11" s="218"/>
      <c r="R11" s="226"/>
      <c r="S11" s="227"/>
      <c r="T11" s="112" t="s">
        <v>167</v>
      </c>
      <c r="U11" s="112"/>
      <c r="V11" s="112" t="s">
        <v>168</v>
      </c>
      <c r="W11" s="115"/>
      <c r="X11" s="251" t="s">
        <v>169</v>
      </c>
      <c r="Y11" s="251"/>
      <c r="Z11" s="112"/>
      <c r="AA11" s="252"/>
    </row>
    <row r="12" spans="1:100" s="119" customFormat="1" ht="17.850000000000001" customHeight="1">
      <c r="A12" s="247"/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9"/>
      <c r="O12" s="116"/>
      <c r="P12" s="250" t="s">
        <v>147</v>
      </c>
      <c r="Q12" s="250"/>
      <c r="R12" s="250"/>
      <c r="S12" s="250"/>
      <c r="T12" s="250" t="s">
        <v>148</v>
      </c>
      <c r="U12" s="250"/>
      <c r="V12" s="250" t="s">
        <v>149</v>
      </c>
      <c r="W12" s="250"/>
      <c r="X12" s="250" t="s">
        <v>150</v>
      </c>
      <c r="Y12" s="250"/>
      <c r="Z12" s="250"/>
      <c r="AA12" s="117" t="s">
        <v>17</v>
      </c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</row>
    <row r="13" spans="1:100" ht="23.4" customHeight="1">
      <c r="A13" s="231" t="s">
        <v>170</v>
      </c>
      <c r="B13" s="232"/>
      <c r="C13" s="105"/>
      <c r="D13" s="237">
        <v>0.58333333333333337</v>
      </c>
      <c r="E13" s="238"/>
      <c r="F13" s="241"/>
      <c r="G13" s="244"/>
      <c r="H13" s="219"/>
      <c r="I13" s="220"/>
      <c r="J13" s="106"/>
      <c r="K13" s="241"/>
      <c r="L13" s="107"/>
      <c r="M13" s="219"/>
      <c r="N13" s="220"/>
      <c r="O13" s="105"/>
      <c r="P13" s="225" t="s">
        <v>152</v>
      </c>
      <c r="Q13" s="225"/>
      <c r="R13" s="226"/>
      <c r="S13" s="227"/>
      <c r="T13" s="108" t="s">
        <v>153</v>
      </c>
      <c r="U13" s="109"/>
      <c r="V13" s="110" t="s">
        <v>154</v>
      </c>
      <c r="W13" s="111"/>
      <c r="X13" s="225" t="s">
        <v>155</v>
      </c>
      <c r="Y13" s="225"/>
      <c r="Z13" s="112"/>
      <c r="AA13" s="252" t="s">
        <v>156</v>
      </c>
    </row>
    <row r="14" spans="1:100" ht="23.4" customHeight="1">
      <c r="A14" s="233"/>
      <c r="B14" s="234"/>
      <c r="C14" s="105"/>
      <c r="D14" s="239"/>
      <c r="E14" s="240"/>
      <c r="F14" s="242"/>
      <c r="G14" s="244"/>
      <c r="H14" s="221"/>
      <c r="I14" s="222"/>
      <c r="J14" s="106"/>
      <c r="K14" s="245"/>
      <c r="L14" s="113"/>
      <c r="M14" s="221"/>
      <c r="N14" s="222"/>
      <c r="O14" s="105"/>
      <c r="P14" s="226" t="s">
        <v>157</v>
      </c>
      <c r="Q14" s="227"/>
      <c r="R14" s="226"/>
      <c r="S14" s="227"/>
      <c r="T14" s="108" t="s">
        <v>158</v>
      </c>
      <c r="U14" s="109"/>
      <c r="V14" s="108" t="s">
        <v>159</v>
      </c>
      <c r="W14" s="109"/>
      <c r="X14" s="225" t="s">
        <v>160</v>
      </c>
      <c r="Y14" s="225"/>
      <c r="Z14" s="112"/>
      <c r="AA14" s="252"/>
    </row>
    <row r="15" spans="1:100" ht="23.4" customHeight="1">
      <c r="A15" s="233"/>
      <c r="B15" s="234"/>
      <c r="C15" s="105"/>
      <c r="D15" s="237">
        <v>0.91666666666666663</v>
      </c>
      <c r="E15" s="238"/>
      <c r="F15" s="242"/>
      <c r="G15" s="244"/>
      <c r="H15" s="221"/>
      <c r="I15" s="222"/>
      <c r="J15" s="106"/>
      <c r="K15" s="245"/>
      <c r="L15" s="113"/>
      <c r="M15" s="221"/>
      <c r="N15" s="222"/>
      <c r="O15" s="105"/>
      <c r="P15" s="226" t="s">
        <v>161</v>
      </c>
      <c r="Q15" s="227"/>
      <c r="R15" s="226"/>
      <c r="S15" s="227"/>
      <c r="T15" s="108" t="s">
        <v>162</v>
      </c>
      <c r="U15" s="109"/>
      <c r="V15" s="108" t="s">
        <v>163</v>
      </c>
      <c r="W15" s="109"/>
      <c r="X15" s="225" t="s">
        <v>164</v>
      </c>
      <c r="Y15" s="225"/>
      <c r="Z15" s="112"/>
      <c r="AA15" s="252"/>
    </row>
    <row r="16" spans="1:100" ht="23.4" customHeight="1">
      <c r="A16" s="235"/>
      <c r="B16" s="236"/>
      <c r="C16" s="105"/>
      <c r="D16" s="239"/>
      <c r="E16" s="240"/>
      <c r="F16" s="243"/>
      <c r="G16" s="244"/>
      <c r="H16" s="223"/>
      <c r="I16" s="224"/>
      <c r="J16" s="106"/>
      <c r="K16" s="246"/>
      <c r="L16" s="114"/>
      <c r="M16" s="223"/>
      <c r="N16" s="224"/>
      <c r="O16" s="105"/>
      <c r="P16" s="217" t="s">
        <v>166</v>
      </c>
      <c r="Q16" s="218"/>
      <c r="R16" s="226"/>
      <c r="S16" s="227"/>
      <c r="T16" s="112" t="s">
        <v>167</v>
      </c>
      <c r="U16" s="112"/>
      <c r="V16" s="112" t="s">
        <v>168</v>
      </c>
      <c r="W16" s="115"/>
      <c r="X16" s="251" t="s">
        <v>169</v>
      </c>
      <c r="Y16" s="251"/>
      <c r="Z16" s="112"/>
      <c r="AA16" s="252"/>
    </row>
    <row r="17" spans="1:100" s="119" customFormat="1" ht="17.850000000000001" customHeight="1">
      <c r="A17" s="247"/>
      <c r="B17" s="248"/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9"/>
      <c r="O17" s="116"/>
      <c r="P17" s="250" t="s">
        <v>147</v>
      </c>
      <c r="Q17" s="250"/>
      <c r="R17" s="250"/>
      <c r="S17" s="250"/>
      <c r="T17" s="250" t="s">
        <v>148</v>
      </c>
      <c r="U17" s="250"/>
      <c r="V17" s="250" t="s">
        <v>149</v>
      </c>
      <c r="W17" s="250"/>
      <c r="X17" s="250" t="s">
        <v>150</v>
      </c>
      <c r="Y17" s="250"/>
      <c r="Z17" s="250"/>
      <c r="AA17" s="117" t="s">
        <v>17</v>
      </c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8"/>
      <c r="BN17" s="118"/>
      <c r="BO17" s="118"/>
      <c r="BP17" s="118"/>
      <c r="BQ17" s="118"/>
      <c r="BR17" s="118"/>
      <c r="BS17" s="118"/>
      <c r="BT17" s="118"/>
      <c r="BU17" s="118"/>
      <c r="BV17" s="118"/>
      <c r="BW17" s="118"/>
      <c r="BX17" s="118"/>
      <c r="BY17" s="118"/>
      <c r="BZ17" s="118"/>
      <c r="CA17" s="118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  <c r="CN17" s="118"/>
      <c r="CO17" s="118"/>
      <c r="CP17" s="118"/>
      <c r="CQ17" s="118"/>
      <c r="CR17" s="118"/>
      <c r="CS17" s="118"/>
      <c r="CT17" s="118"/>
      <c r="CU17" s="118"/>
      <c r="CV17" s="118"/>
    </row>
    <row r="18" spans="1:100" ht="23.4" customHeight="1">
      <c r="A18" s="231" t="s">
        <v>171</v>
      </c>
      <c r="B18" s="232"/>
      <c r="C18" s="105"/>
      <c r="D18" s="237">
        <v>0.39583333333333331</v>
      </c>
      <c r="E18" s="238"/>
      <c r="F18" s="241"/>
      <c r="G18" s="244"/>
      <c r="H18" s="219"/>
      <c r="I18" s="220"/>
      <c r="J18" s="106"/>
      <c r="K18" s="241"/>
      <c r="L18" s="107"/>
      <c r="M18" s="219"/>
      <c r="N18" s="220"/>
      <c r="O18" s="105"/>
      <c r="P18" s="225" t="s">
        <v>152</v>
      </c>
      <c r="Q18" s="225"/>
      <c r="R18" s="226"/>
      <c r="S18" s="227"/>
      <c r="T18" s="108" t="s">
        <v>153</v>
      </c>
      <c r="U18" s="109"/>
      <c r="V18" s="110" t="s">
        <v>154</v>
      </c>
      <c r="W18" s="111"/>
      <c r="X18" s="226" t="s">
        <v>155</v>
      </c>
      <c r="Y18" s="227"/>
      <c r="Z18" s="112"/>
      <c r="AA18" s="228" t="s">
        <v>156</v>
      </c>
    </row>
    <row r="19" spans="1:100" ht="23.4" customHeight="1">
      <c r="A19" s="233"/>
      <c r="B19" s="234"/>
      <c r="C19" s="105"/>
      <c r="D19" s="239"/>
      <c r="E19" s="240"/>
      <c r="F19" s="242"/>
      <c r="G19" s="244"/>
      <c r="H19" s="221"/>
      <c r="I19" s="222"/>
      <c r="J19" s="106"/>
      <c r="K19" s="245"/>
      <c r="L19" s="113"/>
      <c r="M19" s="221"/>
      <c r="N19" s="222"/>
      <c r="O19" s="105"/>
      <c r="P19" s="226" t="s">
        <v>157</v>
      </c>
      <c r="Q19" s="227"/>
      <c r="R19" s="226"/>
      <c r="S19" s="227"/>
      <c r="T19" s="108" t="s">
        <v>158</v>
      </c>
      <c r="U19" s="109"/>
      <c r="V19" s="108" t="s">
        <v>159</v>
      </c>
      <c r="W19" s="109"/>
      <c r="X19" s="226" t="s">
        <v>160</v>
      </c>
      <c r="Y19" s="227"/>
      <c r="Z19" s="112"/>
      <c r="AA19" s="229"/>
    </row>
    <row r="20" spans="1:100" ht="22.8" customHeight="1">
      <c r="A20" s="233"/>
      <c r="B20" s="234"/>
      <c r="C20" s="105"/>
      <c r="D20" s="237">
        <v>0.91666666666666663</v>
      </c>
      <c r="E20" s="238"/>
      <c r="F20" s="242"/>
      <c r="G20" s="244"/>
      <c r="H20" s="221"/>
      <c r="I20" s="222"/>
      <c r="J20" s="106"/>
      <c r="K20" s="245"/>
      <c r="L20" s="113"/>
      <c r="M20" s="221"/>
      <c r="N20" s="222"/>
      <c r="O20" s="105"/>
      <c r="P20" s="226" t="s">
        <v>161</v>
      </c>
      <c r="Q20" s="227"/>
      <c r="R20" s="226"/>
      <c r="S20" s="227"/>
      <c r="T20" s="108" t="s">
        <v>162</v>
      </c>
      <c r="U20" s="109"/>
      <c r="V20" s="108" t="s">
        <v>163</v>
      </c>
      <c r="W20" s="109"/>
      <c r="X20" s="226" t="s">
        <v>164</v>
      </c>
      <c r="Y20" s="227"/>
      <c r="Z20" s="112"/>
      <c r="AA20" s="229"/>
    </row>
    <row r="21" spans="1:100" ht="23.4" customHeight="1">
      <c r="A21" s="235"/>
      <c r="B21" s="236"/>
      <c r="C21" s="105"/>
      <c r="D21" s="239"/>
      <c r="E21" s="240"/>
      <c r="F21" s="243"/>
      <c r="G21" s="244"/>
      <c r="H21" s="223"/>
      <c r="I21" s="224"/>
      <c r="J21" s="106"/>
      <c r="K21" s="246"/>
      <c r="L21" s="114"/>
      <c r="M21" s="223"/>
      <c r="N21" s="224"/>
      <c r="O21" s="105"/>
      <c r="P21" s="217" t="s">
        <v>166</v>
      </c>
      <c r="Q21" s="218"/>
      <c r="R21" s="226"/>
      <c r="S21" s="227"/>
      <c r="T21" s="112" t="s">
        <v>167</v>
      </c>
      <c r="U21" s="112"/>
      <c r="V21" s="112" t="s">
        <v>168</v>
      </c>
      <c r="W21" s="115"/>
      <c r="X21" s="217" t="s">
        <v>169</v>
      </c>
      <c r="Y21" s="218"/>
      <c r="Z21" s="112"/>
      <c r="AA21" s="230"/>
    </row>
    <row r="22" spans="1:100" s="119" customFormat="1" ht="17.850000000000001" customHeight="1">
      <c r="A22" s="247"/>
      <c r="B22" s="248"/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9"/>
      <c r="O22" s="116"/>
      <c r="P22" s="250" t="s">
        <v>147</v>
      </c>
      <c r="Q22" s="250"/>
      <c r="R22" s="250"/>
      <c r="S22" s="250"/>
      <c r="T22" s="250" t="s">
        <v>148</v>
      </c>
      <c r="U22" s="250"/>
      <c r="V22" s="250" t="s">
        <v>149</v>
      </c>
      <c r="W22" s="250"/>
      <c r="X22" s="250" t="s">
        <v>150</v>
      </c>
      <c r="Y22" s="250"/>
      <c r="Z22" s="250"/>
      <c r="AA22" s="117" t="s">
        <v>17</v>
      </c>
      <c r="AB22" s="120"/>
      <c r="AC22" s="120"/>
      <c r="AD22" s="120"/>
      <c r="AE22" s="120"/>
      <c r="AF22" s="120"/>
      <c r="AG22" s="120"/>
      <c r="AH22" s="120"/>
      <c r="AI22" s="120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118"/>
      <c r="CE22" s="118"/>
      <c r="CF22" s="118"/>
      <c r="CG22" s="118"/>
      <c r="CH22" s="118"/>
      <c r="CI22" s="118"/>
      <c r="CJ22" s="118"/>
      <c r="CK22" s="118"/>
      <c r="CL22" s="118"/>
      <c r="CM22" s="118"/>
      <c r="CN22" s="118"/>
      <c r="CO22" s="118"/>
      <c r="CP22" s="118"/>
      <c r="CQ22" s="118"/>
      <c r="CR22" s="118"/>
      <c r="CS22" s="118"/>
      <c r="CT22" s="118"/>
      <c r="CU22" s="118"/>
      <c r="CV22" s="118"/>
    </row>
    <row r="23" spans="1:100" ht="23.4" customHeight="1">
      <c r="A23" s="231" t="s">
        <v>172</v>
      </c>
      <c r="B23" s="232"/>
      <c r="C23" s="105"/>
      <c r="D23" s="237">
        <v>0.5</v>
      </c>
      <c r="E23" s="238"/>
      <c r="F23" s="241"/>
      <c r="G23" s="244"/>
      <c r="H23" s="219"/>
      <c r="I23" s="220"/>
      <c r="J23" s="106"/>
      <c r="K23" s="241"/>
      <c r="L23" s="107"/>
      <c r="M23" s="219"/>
      <c r="N23" s="220"/>
      <c r="O23" s="105"/>
      <c r="P23" s="225" t="s">
        <v>152</v>
      </c>
      <c r="Q23" s="225"/>
      <c r="R23" s="226"/>
      <c r="S23" s="227"/>
      <c r="T23" s="108" t="s">
        <v>153</v>
      </c>
      <c r="U23" s="109"/>
      <c r="V23" s="110" t="s">
        <v>154</v>
      </c>
      <c r="W23" s="111"/>
      <c r="X23" s="226" t="s">
        <v>155</v>
      </c>
      <c r="Y23" s="227"/>
      <c r="Z23" s="112"/>
      <c r="AA23" s="228" t="s">
        <v>156</v>
      </c>
    </row>
    <row r="24" spans="1:100" ht="23.4" customHeight="1">
      <c r="A24" s="233"/>
      <c r="B24" s="234"/>
      <c r="C24" s="105"/>
      <c r="D24" s="239"/>
      <c r="E24" s="240"/>
      <c r="F24" s="242"/>
      <c r="G24" s="244"/>
      <c r="H24" s="221"/>
      <c r="I24" s="222"/>
      <c r="J24" s="106"/>
      <c r="K24" s="245"/>
      <c r="L24" s="113"/>
      <c r="M24" s="221"/>
      <c r="N24" s="222"/>
      <c r="O24" s="105"/>
      <c r="P24" s="226" t="s">
        <v>157</v>
      </c>
      <c r="Q24" s="227"/>
      <c r="R24" s="226"/>
      <c r="S24" s="227"/>
      <c r="T24" s="108" t="s">
        <v>158</v>
      </c>
      <c r="U24" s="109"/>
      <c r="V24" s="108" t="s">
        <v>159</v>
      </c>
      <c r="W24" s="109"/>
      <c r="X24" s="226" t="s">
        <v>160</v>
      </c>
      <c r="Y24" s="227"/>
      <c r="Z24" s="112"/>
      <c r="AA24" s="229"/>
    </row>
    <row r="25" spans="1:100" ht="23.4" customHeight="1">
      <c r="A25" s="233"/>
      <c r="B25" s="234"/>
      <c r="C25" s="105"/>
      <c r="D25" s="237">
        <v>0.83333333333333337</v>
      </c>
      <c r="E25" s="238"/>
      <c r="F25" s="242"/>
      <c r="G25" s="244"/>
      <c r="H25" s="221"/>
      <c r="I25" s="222"/>
      <c r="J25" s="106"/>
      <c r="K25" s="245"/>
      <c r="L25" s="113"/>
      <c r="M25" s="221"/>
      <c r="N25" s="222"/>
      <c r="O25" s="105"/>
      <c r="P25" s="226" t="s">
        <v>161</v>
      </c>
      <c r="Q25" s="227"/>
      <c r="R25" s="226"/>
      <c r="S25" s="227"/>
      <c r="T25" s="108" t="s">
        <v>162</v>
      </c>
      <c r="U25" s="109"/>
      <c r="V25" s="108" t="s">
        <v>163</v>
      </c>
      <c r="W25" s="109"/>
      <c r="X25" s="226" t="s">
        <v>164</v>
      </c>
      <c r="Y25" s="227"/>
      <c r="Z25" s="112"/>
      <c r="AA25" s="229"/>
    </row>
    <row r="26" spans="1:100" ht="23.4" customHeight="1">
      <c r="A26" s="235"/>
      <c r="B26" s="236"/>
      <c r="C26" s="105"/>
      <c r="D26" s="239"/>
      <c r="E26" s="240"/>
      <c r="F26" s="243"/>
      <c r="G26" s="244"/>
      <c r="H26" s="223"/>
      <c r="I26" s="224"/>
      <c r="J26" s="106"/>
      <c r="K26" s="246"/>
      <c r="L26" s="114"/>
      <c r="M26" s="223"/>
      <c r="N26" s="224"/>
      <c r="O26" s="105"/>
      <c r="P26" s="217" t="s">
        <v>166</v>
      </c>
      <c r="Q26" s="218"/>
      <c r="R26" s="226"/>
      <c r="S26" s="227"/>
      <c r="T26" s="112" t="s">
        <v>167</v>
      </c>
      <c r="U26" s="112"/>
      <c r="V26" s="112" t="s">
        <v>168</v>
      </c>
      <c r="W26" s="115"/>
      <c r="X26" s="217" t="s">
        <v>169</v>
      </c>
      <c r="Y26" s="218"/>
      <c r="Z26" s="112"/>
      <c r="AA26" s="230"/>
      <c r="AB26" s="121"/>
      <c r="AC26" s="121"/>
      <c r="AD26" s="121"/>
      <c r="AE26" s="121"/>
      <c r="AF26" s="121"/>
      <c r="AG26" s="121"/>
      <c r="AH26" s="121"/>
      <c r="AI26" s="121"/>
    </row>
    <row r="27" spans="1:100" s="119" customFormat="1" ht="17.850000000000001" customHeight="1">
      <c r="A27" s="247"/>
      <c r="B27" s="248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9"/>
      <c r="O27" s="116"/>
      <c r="P27" s="250" t="s">
        <v>147</v>
      </c>
      <c r="Q27" s="250"/>
      <c r="R27" s="250"/>
      <c r="S27" s="250"/>
      <c r="T27" s="250" t="s">
        <v>148</v>
      </c>
      <c r="U27" s="250"/>
      <c r="V27" s="250" t="s">
        <v>149</v>
      </c>
      <c r="W27" s="250"/>
      <c r="X27" s="250" t="s">
        <v>150</v>
      </c>
      <c r="Y27" s="250"/>
      <c r="Z27" s="250"/>
      <c r="AA27" s="117" t="s">
        <v>17</v>
      </c>
      <c r="AB27" s="120"/>
      <c r="AC27" s="120"/>
      <c r="AD27" s="120"/>
      <c r="AE27" s="120"/>
      <c r="AF27" s="120"/>
      <c r="AG27" s="120"/>
      <c r="AH27" s="120"/>
      <c r="AI27" s="120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18"/>
      <c r="CK27" s="118"/>
      <c r="CL27" s="118"/>
      <c r="CM27" s="118"/>
      <c r="CN27" s="118"/>
      <c r="CO27" s="118"/>
      <c r="CP27" s="118"/>
      <c r="CQ27" s="118"/>
      <c r="CR27" s="118"/>
      <c r="CS27" s="118"/>
      <c r="CT27" s="118"/>
      <c r="CU27" s="118"/>
      <c r="CV27" s="118"/>
    </row>
    <row r="28" spans="1:100" ht="23.4" customHeight="1">
      <c r="A28" s="231" t="s">
        <v>173</v>
      </c>
      <c r="B28" s="232"/>
      <c r="C28" s="105"/>
      <c r="D28" s="237" t="s">
        <v>177</v>
      </c>
      <c r="E28" s="238"/>
      <c r="F28" s="241"/>
      <c r="G28" s="244"/>
      <c r="H28" s="219"/>
      <c r="I28" s="220"/>
      <c r="J28" s="106"/>
      <c r="K28" s="241"/>
      <c r="L28" s="107"/>
      <c r="M28" s="219"/>
      <c r="N28" s="220"/>
      <c r="O28" s="105"/>
      <c r="P28" s="225" t="s">
        <v>152</v>
      </c>
      <c r="Q28" s="225"/>
      <c r="R28" s="226"/>
      <c r="S28" s="227"/>
      <c r="T28" s="108" t="s">
        <v>153</v>
      </c>
      <c r="U28" s="109"/>
      <c r="V28" s="110" t="s">
        <v>154</v>
      </c>
      <c r="W28" s="111"/>
      <c r="X28" s="226" t="s">
        <v>155</v>
      </c>
      <c r="Y28" s="227"/>
      <c r="Z28" s="112"/>
      <c r="AA28" s="228" t="s">
        <v>156</v>
      </c>
    </row>
    <row r="29" spans="1:100" ht="23.4" customHeight="1">
      <c r="A29" s="233"/>
      <c r="B29" s="234"/>
      <c r="C29" s="105"/>
      <c r="D29" s="239"/>
      <c r="E29" s="240"/>
      <c r="F29" s="242"/>
      <c r="G29" s="244"/>
      <c r="H29" s="221"/>
      <c r="I29" s="222"/>
      <c r="J29" s="106"/>
      <c r="K29" s="245"/>
      <c r="L29" s="113"/>
      <c r="M29" s="221"/>
      <c r="N29" s="222"/>
      <c r="O29" s="105"/>
      <c r="P29" s="226" t="s">
        <v>157</v>
      </c>
      <c r="Q29" s="227"/>
      <c r="R29" s="226"/>
      <c r="S29" s="227"/>
      <c r="T29" s="108" t="s">
        <v>158</v>
      </c>
      <c r="U29" s="109"/>
      <c r="V29" s="108" t="s">
        <v>159</v>
      </c>
      <c r="W29" s="109"/>
      <c r="X29" s="226" t="s">
        <v>160</v>
      </c>
      <c r="Y29" s="227"/>
      <c r="Z29" s="112"/>
      <c r="AA29" s="229"/>
    </row>
    <row r="30" spans="1:100" ht="23.4" customHeight="1">
      <c r="A30" s="233"/>
      <c r="B30" s="234"/>
      <c r="C30" s="105"/>
      <c r="D30" s="237" t="s">
        <v>177</v>
      </c>
      <c r="E30" s="238"/>
      <c r="F30" s="242"/>
      <c r="G30" s="244"/>
      <c r="H30" s="221"/>
      <c r="I30" s="222"/>
      <c r="J30" s="106"/>
      <c r="K30" s="245"/>
      <c r="L30" s="113"/>
      <c r="M30" s="221"/>
      <c r="N30" s="222"/>
      <c r="O30" s="105"/>
      <c r="P30" s="226" t="s">
        <v>161</v>
      </c>
      <c r="Q30" s="227"/>
      <c r="R30" s="226"/>
      <c r="S30" s="227"/>
      <c r="T30" s="108" t="s">
        <v>162</v>
      </c>
      <c r="U30" s="109"/>
      <c r="V30" s="108" t="s">
        <v>163</v>
      </c>
      <c r="W30" s="109"/>
      <c r="X30" s="226" t="s">
        <v>164</v>
      </c>
      <c r="Y30" s="227"/>
      <c r="Z30" s="112"/>
      <c r="AA30" s="229"/>
    </row>
    <row r="31" spans="1:100" ht="23.4" customHeight="1">
      <c r="A31" s="235"/>
      <c r="B31" s="236"/>
      <c r="C31" s="105"/>
      <c r="D31" s="239"/>
      <c r="E31" s="240"/>
      <c r="F31" s="243"/>
      <c r="G31" s="244"/>
      <c r="H31" s="223"/>
      <c r="I31" s="224"/>
      <c r="J31" s="106"/>
      <c r="K31" s="246"/>
      <c r="L31" s="114"/>
      <c r="M31" s="223"/>
      <c r="N31" s="224"/>
      <c r="O31" s="105"/>
      <c r="P31" s="217" t="s">
        <v>166</v>
      </c>
      <c r="Q31" s="218"/>
      <c r="R31" s="226"/>
      <c r="S31" s="227"/>
      <c r="T31" s="112" t="s">
        <v>167</v>
      </c>
      <c r="U31" s="112"/>
      <c r="V31" s="112" t="s">
        <v>168</v>
      </c>
      <c r="W31" s="115"/>
      <c r="X31" s="217" t="s">
        <v>169</v>
      </c>
      <c r="Y31" s="218"/>
      <c r="Z31" s="112"/>
      <c r="AA31" s="230"/>
      <c r="AB31" s="121"/>
      <c r="AC31" s="121"/>
      <c r="AD31" s="121"/>
      <c r="AE31" s="121"/>
      <c r="AF31" s="121"/>
      <c r="AG31" s="121"/>
      <c r="AH31" s="121"/>
      <c r="AI31" s="121"/>
    </row>
    <row r="32" spans="1:100" s="119" customFormat="1" ht="17.850000000000001" customHeight="1">
      <c r="A32" s="247"/>
      <c r="B32" s="248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9"/>
      <c r="O32" s="116"/>
      <c r="P32" s="250" t="s">
        <v>147</v>
      </c>
      <c r="Q32" s="250"/>
      <c r="R32" s="250"/>
      <c r="S32" s="250"/>
      <c r="T32" s="250" t="s">
        <v>148</v>
      </c>
      <c r="U32" s="250"/>
      <c r="V32" s="250" t="s">
        <v>149</v>
      </c>
      <c r="W32" s="250"/>
      <c r="X32" s="250" t="s">
        <v>150</v>
      </c>
      <c r="Y32" s="250"/>
      <c r="Z32" s="250"/>
      <c r="AA32" s="117" t="s">
        <v>17</v>
      </c>
      <c r="AB32" s="120"/>
      <c r="AC32" s="120"/>
      <c r="AD32" s="120"/>
      <c r="AE32" s="120"/>
      <c r="AF32" s="120"/>
      <c r="AG32" s="120"/>
      <c r="AH32" s="120"/>
      <c r="AI32" s="120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</row>
    <row r="33" spans="1:35" ht="23.4" customHeight="1">
      <c r="A33" s="231" t="s">
        <v>174</v>
      </c>
      <c r="B33" s="232"/>
      <c r="C33" s="105"/>
      <c r="D33" s="237">
        <v>0.58333333333333337</v>
      </c>
      <c r="E33" s="238"/>
      <c r="F33" s="241"/>
      <c r="G33" s="244"/>
      <c r="H33" s="219"/>
      <c r="I33" s="220"/>
      <c r="J33" s="106"/>
      <c r="K33" s="241"/>
      <c r="L33" s="107"/>
      <c r="M33" s="219"/>
      <c r="N33" s="220"/>
      <c r="O33" s="105"/>
      <c r="P33" s="225" t="s">
        <v>152</v>
      </c>
      <c r="Q33" s="225"/>
      <c r="R33" s="226"/>
      <c r="S33" s="227"/>
      <c r="T33" s="108" t="s">
        <v>153</v>
      </c>
      <c r="U33" s="109"/>
      <c r="V33" s="110" t="s">
        <v>154</v>
      </c>
      <c r="W33" s="111"/>
      <c r="X33" s="226" t="s">
        <v>155</v>
      </c>
      <c r="Y33" s="227"/>
      <c r="Z33" s="112"/>
      <c r="AA33" s="228" t="s">
        <v>156</v>
      </c>
    </row>
    <row r="34" spans="1:35" ht="23.4" customHeight="1">
      <c r="A34" s="233"/>
      <c r="B34" s="234"/>
      <c r="C34" s="105"/>
      <c r="D34" s="239"/>
      <c r="E34" s="240"/>
      <c r="F34" s="242"/>
      <c r="G34" s="244"/>
      <c r="H34" s="221"/>
      <c r="I34" s="222"/>
      <c r="J34" s="106"/>
      <c r="K34" s="245"/>
      <c r="L34" s="113"/>
      <c r="M34" s="221"/>
      <c r="N34" s="222"/>
      <c r="O34" s="105"/>
      <c r="P34" s="226" t="s">
        <v>157</v>
      </c>
      <c r="Q34" s="227"/>
      <c r="R34" s="226"/>
      <c r="S34" s="227"/>
      <c r="T34" s="108" t="s">
        <v>158</v>
      </c>
      <c r="U34" s="109"/>
      <c r="V34" s="108" t="s">
        <v>159</v>
      </c>
      <c r="W34" s="109"/>
      <c r="X34" s="226" t="s">
        <v>160</v>
      </c>
      <c r="Y34" s="227"/>
      <c r="Z34" s="112"/>
      <c r="AA34" s="229"/>
    </row>
    <row r="35" spans="1:35" ht="23.4" customHeight="1">
      <c r="A35" s="233"/>
      <c r="B35" s="234"/>
      <c r="C35" s="105"/>
      <c r="D35" s="237">
        <v>0.91666666666666663</v>
      </c>
      <c r="E35" s="238"/>
      <c r="F35" s="242"/>
      <c r="G35" s="244"/>
      <c r="H35" s="221"/>
      <c r="I35" s="222"/>
      <c r="J35" s="106"/>
      <c r="K35" s="245"/>
      <c r="L35" s="113"/>
      <c r="M35" s="221"/>
      <c r="N35" s="222"/>
      <c r="O35" s="105"/>
      <c r="P35" s="226" t="s">
        <v>161</v>
      </c>
      <c r="Q35" s="227"/>
      <c r="R35" s="226"/>
      <c r="S35" s="227"/>
      <c r="T35" s="108" t="s">
        <v>162</v>
      </c>
      <c r="U35" s="109"/>
      <c r="V35" s="108" t="s">
        <v>163</v>
      </c>
      <c r="W35" s="109"/>
      <c r="X35" s="226" t="s">
        <v>164</v>
      </c>
      <c r="Y35" s="227"/>
      <c r="Z35" s="112"/>
      <c r="AA35" s="229"/>
    </row>
    <row r="36" spans="1:35" ht="23.4" customHeight="1">
      <c r="A36" s="235"/>
      <c r="B36" s="236"/>
      <c r="C36" s="105"/>
      <c r="D36" s="239"/>
      <c r="E36" s="240"/>
      <c r="F36" s="243"/>
      <c r="G36" s="244"/>
      <c r="H36" s="223"/>
      <c r="I36" s="224"/>
      <c r="J36" s="106"/>
      <c r="K36" s="246"/>
      <c r="L36" s="114"/>
      <c r="M36" s="223"/>
      <c r="N36" s="224"/>
      <c r="O36" s="105"/>
      <c r="P36" s="217" t="s">
        <v>166</v>
      </c>
      <c r="Q36" s="218"/>
      <c r="R36" s="226"/>
      <c r="S36" s="227"/>
      <c r="T36" s="112" t="s">
        <v>167</v>
      </c>
      <c r="U36" s="112"/>
      <c r="V36" s="112" t="s">
        <v>168</v>
      </c>
      <c r="W36" s="115"/>
      <c r="X36" s="217" t="s">
        <v>169</v>
      </c>
      <c r="Y36" s="218"/>
      <c r="Z36" s="112"/>
      <c r="AA36" s="230"/>
      <c r="AB36" s="121"/>
      <c r="AC36" s="121"/>
      <c r="AD36" s="121"/>
      <c r="AE36" s="121"/>
      <c r="AF36" s="121"/>
      <c r="AG36" s="121"/>
      <c r="AH36" s="121"/>
      <c r="AI36" s="121"/>
    </row>
    <row r="37" spans="1:35" s="91" customFormat="1">
      <c r="B37" s="122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</row>
    <row r="38" spans="1:35" s="91" customFormat="1">
      <c r="B38" s="122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</row>
    <row r="39" spans="1:35" s="91" customFormat="1">
      <c r="B39" s="122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</row>
    <row r="40" spans="1:35" s="91" customFormat="1">
      <c r="B40" s="122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</row>
    <row r="41" spans="1:35" s="91" customFormat="1">
      <c r="B41" s="122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</row>
    <row r="42" spans="1:35" s="91" customFormat="1">
      <c r="B42" s="122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</row>
    <row r="43" spans="1:35" s="91" customFormat="1">
      <c r="B43" s="122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</row>
    <row r="44" spans="1:35" s="91" customFormat="1">
      <c r="B44" s="122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</row>
    <row r="45" spans="1:35" s="91" customFormat="1">
      <c r="B45" s="122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</row>
    <row r="46" spans="1:35" s="91" customFormat="1">
      <c r="B46" s="122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</row>
    <row r="47" spans="1:35" s="91" customFormat="1">
      <c r="B47" s="122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</row>
    <row r="48" spans="1:35" s="91" customFormat="1">
      <c r="B48" s="122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 spans="2:27" s="91" customFormat="1">
      <c r="B49" s="122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 spans="2:27" s="91" customFormat="1">
      <c r="B50" s="122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 spans="2:27" s="91" customFormat="1">
      <c r="B51" s="122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 spans="2:27" s="91" customFormat="1">
      <c r="B52" s="122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 spans="2:27" s="91" customFormat="1">
      <c r="B53" s="122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 spans="2:27" s="91" customFormat="1">
      <c r="B54" s="122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 spans="2:27" s="91" customFormat="1">
      <c r="B55" s="122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 spans="2:27" s="91" customFormat="1">
      <c r="B56" s="122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 spans="2:27" s="91" customFormat="1">
      <c r="B57" s="122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 spans="2:27" s="91" customFormat="1">
      <c r="B58" s="122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 spans="2:27" s="91" customFormat="1">
      <c r="B59" s="122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 spans="2:27" s="91" customFormat="1">
      <c r="B60" s="122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 spans="2:27" s="91" customFormat="1">
      <c r="B61" s="122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 spans="2:27" s="91" customFormat="1">
      <c r="B62" s="122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 spans="2:27" s="91" customFormat="1">
      <c r="B63" s="122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 spans="2:27" s="91" customFormat="1">
      <c r="B64" s="122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 spans="2:27" s="91" customFormat="1">
      <c r="B65" s="122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 spans="2:27" s="91" customFormat="1">
      <c r="B66" s="122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 spans="2:27" s="91" customFormat="1">
      <c r="B67" s="122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 spans="2:27" s="91" customFormat="1">
      <c r="B68" s="122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 spans="2:27" s="91" customFormat="1">
      <c r="B69" s="122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 spans="2:27" s="91" customFormat="1">
      <c r="B70" s="122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 spans="2:27" s="91" customFormat="1">
      <c r="B71" s="122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 spans="2:27" s="91" customFormat="1">
      <c r="B72" s="122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 spans="2:27" s="91" customFormat="1">
      <c r="B73" s="122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 spans="2:27" s="91" customFormat="1">
      <c r="B74" s="122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 spans="2:27" s="91" customFormat="1">
      <c r="B75" s="122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 spans="2:27" s="91" customFormat="1">
      <c r="B76" s="122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 spans="2:27" s="91" customFormat="1">
      <c r="B77" s="122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 spans="2:27" s="91" customFormat="1">
      <c r="B78" s="122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 spans="2:27" s="91" customFormat="1">
      <c r="B79" s="122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 spans="2:27" s="91" customFormat="1">
      <c r="B80" s="122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 spans="2:27" s="91" customFormat="1">
      <c r="B81" s="122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 spans="2:27" s="91" customFormat="1">
      <c r="B82" s="122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 spans="2:27" s="91" customFormat="1">
      <c r="B83" s="122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 spans="2:27" s="91" customFormat="1">
      <c r="B84" s="122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 spans="2:27" s="91" customFormat="1">
      <c r="B85" s="122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 spans="2:27" s="91" customFormat="1">
      <c r="B86" s="122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 spans="2:27" s="91" customFormat="1">
      <c r="B87" s="122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 spans="2:27" s="91" customFormat="1">
      <c r="B88" s="122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 spans="2:27" s="91" customFormat="1">
      <c r="B89" s="122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 spans="2:27" s="91" customFormat="1">
      <c r="B90" s="122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 spans="2:27" s="91" customFormat="1">
      <c r="B91" s="122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 spans="2:27" s="91" customFormat="1">
      <c r="B92" s="122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 spans="2:27" s="91" customFormat="1">
      <c r="B93" s="122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 spans="2:27" s="91" customFormat="1">
      <c r="B94" s="122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 spans="2:27" s="91" customFormat="1">
      <c r="B95" s="122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 spans="2:27" s="91" customFormat="1">
      <c r="B96" s="122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 spans="2:27" s="91" customFormat="1">
      <c r="B97" s="122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 spans="2:27" s="91" customFormat="1">
      <c r="B98" s="122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 spans="2:27" s="91" customFormat="1">
      <c r="B99" s="122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 spans="2:27" s="91" customFormat="1">
      <c r="B100" s="122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 spans="2:27" s="91" customFormat="1">
      <c r="B101" s="122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 spans="2:27" s="91" customFormat="1">
      <c r="B102" s="122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 spans="2:27" s="91" customFormat="1">
      <c r="B103" s="122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 spans="2:27" s="91" customFormat="1">
      <c r="B104" s="122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 spans="2:27" s="91" customFormat="1">
      <c r="B105" s="122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 spans="2:27" s="91" customFormat="1">
      <c r="B106" s="122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 spans="2:27" s="91" customFormat="1">
      <c r="B107" s="122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 spans="2:27" s="91" customFormat="1">
      <c r="B108" s="122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 spans="2:27" s="91" customFormat="1">
      <c r="B109" s="122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 spans="2:27" s="91" customFormat="1">
      <c r="B110" s="122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 spans="2:27" s="91" customFormat="1">
      <c r="B111" s="122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 spans="2:27" s="91" customFormat="1">
      <c r="B112" s="122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 spans="2:27" s="91" customFormat="1">
      <c r="B113" s="122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 spans="2:27" s="91" customFormat="1">
      <c r="B114" s="122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 spans="2:27" s="91" customFormat="1">
      <c r="B115" s="122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 spans="2:27" s="91" customFormat="1">
      <c r="B116" s="122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 spans="2:27" s="91" customFormat="1">
      <c r="B117" s="122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 spans="2:27" s="91" customFormat="1">
      <c r="B118" s="122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 spans="2:27" s="91" customFormat="1">
      <c r="B119" s="122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 spans="2:27" s="91" customFormat="1">
      <c r="B120" s="122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 spans="2:27" s="91" customFormat="1">
      <c r="B121" s="122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 spans="2:27" s="91" customFormat="1">
      <c r="B122" s="122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 spans="2:27" s="91" customFormat="1">
      <c r="B123" s="122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</row>
    <row r="124" spans="2:27" s="91" customFormat="1">
      <c r="B124" s="122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</row>
    <row r="125" spans="2:27" s="91" customFormat="1">
      <c r="B125" s="122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</row>
    <row r="126" spans="2:27" s="91" customFormat="1">
      <c r="B126" s="122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</row>
    <row r="127" spans="2:27" s="91" customFormat="1">
      <c r="B127" s="122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</row>
    <row r="128" spans="2:27" s="91" customFormat="1">
      <c r="B128" s="122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</row>
    <row r="129" spans="2:27" s="91" customFormat="1">
      <c r="B129" s="122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</row>
    <row r="130" spans="2:27" s="91" customFormat="1">
      <c r="B130" s="122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</row>
    <row r="131" spans="2:27" s="91" customFormat="1">
      <c r="B131" s="122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</row>
    <row r="132" spans="2:27" s="91" customFormat="1">
      <c r="B132" s="122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</row>
    <row r="133" spans="2:27" s="91" customFormat="1">
      <c r="B133" s="122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</row>
    <row r="134" spans="2:27" s="91" customFormat="1">
      <c r="B134" s="122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</row>
    <row r="135" spans="2:27" s="91" customFormat="1">
      <c r="B135" s="122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</row>
    <row r="136" spans="2:27" s="91" customFormat="1">
      <c r="B136" s="122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</row>
    <row r="137" spans="2:27" s="91" customFormat="1">
      <c r="B137" s="122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</row>
    <row r="138" spans="2:27" s="91" customFormat="1">
      <c r="B138" s="122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</row>
    <row r="139" spans="2:27" s="91" customFormat="1">
      <c r="B139" s="122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</row>
    <row r="140" spans="2:27" s="91" customFormat="1">
      <c r="B140" s="122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</row>
    <row r="141" spans="2:27" s="91" customFormat="1">
      <c r="B141" s="122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</row>
    <row r="142" spans="2:27" s="91" customFormat="1">
      <c r="B142" s="122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</row>
    <row r="143" spans="2:27" s="91" customFormat="1">
      <c r="B143" s="122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</row>
    <row r="144" spans="2:27" s="91" customFormat="1">
      <c r="B144" s="122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</row>
    <row r="145" spans="2:27" s="91" customFormat="1">
      <c r="B145" s="122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</row>
    <row r="146" spans="2:27" s="91" customFormat="1">
      <c r="B146" s="122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</row>
    <row r="147" spans="2:27" s="91" customFormat="1">
      <c r="B147" s="122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</row>
    <row r="148" spans="2:27" s="91" customFormat="1">
      <c r="B148" s="122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</row>
    <row r="149" spans="2:27" s="91" customFormat="1">
      <c r="B149" s="122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</row>
    <row r="150" spans="2:27" s="91" customFormat="1">
      <c r="B150" s="122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</row>
    <row r="151" spans="2:27" s="91" customFormat="1">
      <c r="B151" s="122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</row>
    <row r="152" spans="2:27" s="91" customFormat="1">
      <c r="B152" s="122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</row>
    <row r="153" spans="2:27" s="91" customFormat="1">
      <c r="B153" s="122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</row>
    <row r="154" spans="2:27" s="91" customFormat="1">
      <c r="B154" s="122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</row>
    <row r="155" spans="2:27" s="91" customFormat="1">
      <c r="B155" s="122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</row>
    <row r="156" spans="2:27" s="91" customFormat="1">
      <c r="B156" s="122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</row>
    <row r="157" spans="2:27" s="91" customFormat="1">
      <c r="B157" s="122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</row>
    <row r="158" spans="2:27" s="91" customFormat="1">
      <c r="B158" s="122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</row>
    <row r="159" spans="2:27" s="91" customFormat="1">
      <c r="B159" s="122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</row>
    <row r="160" spans="2:27" s="91" customFormat="1">
      <c r="B160" s="122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</row>
    <row r="161" spans="2:27" s="91" customFormat="1">
      <c r="B161" s="122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</row>
    <row r="162" spans="2:27" s="91" customFormat="1">
      <c r="B162" s="122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</row>
    <row r="163" spans="2:27" s="91" customFormat="1">
      <c r="B163" s="122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</row>
    <row r="164" spans="2:27" s="91" customFormat="1">
      <c r="B164" s="122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</row>
    <row r="165" spans="2:27" s="91" customFormat="1">
      <c r="B165" s="122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</row>
    <row r="166" spans="2:27" s="91" customFormat="1">
      <c r="B166" s="122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</row>
    <row r="167" spans="2:27" s="91" customFormat="1">
      <c r="B167" s="122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</row>
    <row r="168" spans="2:27" s="91" customFormat="1">
      <c r="B168" s="122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</row>
    <row r="169" spans="2:27" s="91" customFormat="1">
      <c r="B169" s="122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</row>
    <row r="170" spans="2:27" s="91" customFormat="1">
      <c r="B170" s="122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</row>
    <row r="171" spans="2:27" s="91" customFormat="1">
      <c r="B171" s="122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</row>
    <row r="172" spans="2:27" s="91" customFormat="1">
      <c r="B172" s="122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</row>
    <row r="173" spans="2:27" s="91" customFormat="1">
      <c r="B173" s="122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</row>
    <row r="174" spans="2:27" s="91" customFormat="1">
      <c r="B174" s="122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</row>
    <row r="175" spans="2:27" s="91" customFormat="1">
      <c r="B175" s="122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</row>
    <row r="176" spans="2:27" s="91" customFormat="1">
      <c r="B176" s="122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</row>
    <row r="177" spans="2:27" s="91" customFormat="1">
      <c r="B177" s="122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</row>
    <row r="178" spans="2:27" s="91" customFormat="1">
      <c r="B178" s="122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</row>
    <row r="179" spans="2:27" s="91" customFormat="1">
      <c r="B179" s="122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</row>
    <row r="180" spans="2:27" s="91" customFormat="1">
      <c r="B180" s="122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</row>
    <row r="181" spans="2:27" s="91" customFormat="1">
      <c r="B181" s="122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</row>
    <row r="182" spans="2:27" s="91" customFormat="1">
      <c r="B182" s="122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</row>
    <row r="183" spans="2:27" s="91" customFormat="1">
      <c r="B183" s="122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</row>
    <row r="184" spans="2:27" s="91" customFormat="1">
      <c r="B184" s="122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</row>
    <row r="185" spans="2:27" s="91" customFormat="1">
      <c r="B185" s="122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</row>
    <row r="186" spans="2:27" s="91" customFormat="1">
      <c r="B186" s="122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</row>
    <row r="187" spans="2:27" s="91" customFormat="1">
      <c r="B187" s="122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</row>
    <row r="188" spans="2:27" s="91" customFormat="1">
      <c r="B188" s="122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</row>
    <row r="189" spans="2:27" s="91" customFormat="1">
      <c r="B189" s="122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</row>
    <row r="190" spans="2:27" s="91" customFormat="1">
      <c r="B190" s="122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</row>
    <row r="191" spans="2:27" s="91" customFormat="1">
      <c r="B191" s="122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</row>
    <row r="192" spans="2:27" s="91" customFormat="1">
      <c r="B192" s="122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</row>
    <row r="193" spans="2:27" s="91" customFormat="1">
      <c r="B193" s="122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</row>
    <row r="194" spans="2:27" s="91" customFormat="1">
      <c r="B194" s="122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</row>
    <row r="195" spans="2:27" s="91" customFormat="1">
      <c r="B195" s="122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</row>
    <row r="196" spans="2:27" s="91" customFormat="1">
      <c r="B196" s="122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</row>
    <row r="197" spans="2:27" s="91" customFormat="1">
      <c r="B197" s="122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</row>
    <row r="198" spans="2:27" s="91" customFormat="1">
      <c r="B198" s="122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</row>
    <row r="199" spans="2:27" s="91" customFormat="1">
      <c r="B199" s="122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</row>
    <row r="200" spans="2:27" s="91" customFormat="1">
      <c r="B200" s="122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</row>
    <row r="201" spans="2:27" s="91" customFormat="1">
      <c r="B201" s="122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</row>
    <row r="202" spans="2:27" s="91" customFormat="1">
      <c r="B202" s="122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</row>
    <row r="203" spans="2:27" s="91" customFormat="1">
      <c r="B203" s="122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</row>
    <row r="204" spans="2:27" s="91" customFormat="1">
      <c r="B204" s="122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</row>
    <row r="205" spans="2:27" s="91" customFormat="1">
      <c r="B205" s="122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</row>
    <row r="206" spans="2:27" s="91" customFormat="1">
      <c r="B206" s="122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</row>
    <row r="207" spans="2:27" s="91" customFormat="1">
      <c r="B207" s="122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</row>
    <row r="208" spans="2:27" s="91" customFormat="1">
      <c r="B208" s="122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</row>
    <row r="209" spans="2:27" s="91" customFormat="1">
      <c r="B209" s="122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</row>
    <row r="210" spans="2:27" s="91" customFormat="1">
      <c r="B210" s="122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</row>
    <row r="211" spans="2:27" s="91" customFormat="1">
      <c r="B211" s="122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</row>
    <row r="212" spans="2:27" s="91" customFormat="1">
      <c r="B212" s="122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</row>
    <row r="213" spans="2:27" s="91" customFormat="1">
      <c r="B213" s="122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</row>
    <row r="214" spans="2:27" s="91" customFormat="1">
      <c r="B214" s="122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</row>
    <row r="215" spans="2:27" s="91" customFormat="1">
      <c r="B215" s="122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</row>
    <row r="216" spans="2:27" s="91" customFormat="1">
      <c r="B216" s="122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</row>
    <row r="217" spans="2:27" s="91" customFormat="1">
      <c r="B217" s="122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</row>
    <row r="218" spans="2:27" s="91" customFormat="1">
      <c r="B218" s="122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</row>
    <row r="219" spans="2:27" s="91" customFormat="1">
      <c r="B219" s="122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</row>
    <row r="220" spans="2:27" s="91" customFormat="1">
      <c r="B220" s="122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</row>
    <row r="221" spans="2:27" s="91" customFormat="1">
      <c r="B221" s="122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</row>
    <row r="222" spans="2:27" s="91" customFormat="1">
      <c r="B222" s="122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</row>
    <row r="223" spans="2:27" s="91" customFormat="1">
      <c r="B223" s="122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</row>
    <row r="224" spans="2:27" s="91" customFormat="1">
      <c r="B224" s="122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</row>
    <row r="225" spans="2:27" s="91" customFormat="1">
      <c r="B225" s="122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</row>
    <row r="226" spans="2:27" s="91" customFormat="1">
      <c r="B226" s="122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</row>
    <row r="227" spans="2:27" s="91" customFormat="1">
      <c r="B227" s="122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</row>
    <row r="228" spans="2:27" s="91" customFormat="1">
      <c r="B228" s="122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</row>
    <row r="229" spans="2:27" s="91" customFormat="1">
      <c r="B229" s="122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</row>
    <row r="230" spans="2:27" s="91" customFormat="1">
      <c r="B230" s="122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</row>
    <row r="231" spans="2:27" s="91" customFormat="1">
      <c r="B231" s="122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</row>
    <row r="232" spans="2:27" s="91" customFormat="1">
      <c r="B232" s="122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</row>
    <row r="233" spans="2:27" s="91" customFormat="1">
      <c r="B233" s="122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</row>
    <row r="234" spans="2:27" s="91" customFormat="1">
      <c r="B234" s="122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</row>
    <row r="235" spans="2:27" s="91" customFormat="1">
      <c r="B235" s="122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</row>
    <row r="236" spans="2:27" s="91" customFormat="1">
      <c r="B236" s="122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</row>
    <row r="237" spans="2:27" s="91" customFormat="1">
      <c r="B237" s="122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</row>
    <row r="238" spans="2:27" s="91" customFormat="1">
      <c r="B238" s="122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</row>
    <row r="239" spans="2:27" s="91" customFormat="1">
      <c r="B239" s="122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</row>
    <row r="240" spans="2:27" s="91" customFormat="1">
      <c r="B240" s="122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</row>
    <row r="241" spans="2:27" s="91" customFormat="1">
      <c r="B241" s="122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</row>
    <row r="242" spans="2:27" s="91" customFormat="1">
      <c r="B242" s="122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</row>
    <row r="243" spans="2:27" s="91" customFormat="1">
      <c r="B243" s="122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</row>
    <row r="244" spans="2:27" s="91" customFormat="1">
      <c r="B244" s="122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</row>
    <row r="245" spans="2:27" s="91" customFormat="1">
      <c r="B245" s="122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</row>
    <row r="246" spans="2:27" s="91" customFormat="1">
      <c r="B246" s="122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</row>
    <row r="247" spans="2:27" s="91" customFormat="1">
      <c r="B247" s="122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</row>
    <row r="248" spans="2:27" s="91" customFormat="1">
      <c r="B248" s="122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</row>
    <row r="249" spans="2:27" s="91" customFormat="1">
      <c r="B249" s="122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</row>
    <row r="250" spans="2:27" s="91" customFormat="1">
      <c r="B250" s="122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</row>
    <row r="251" spans="2:27" s="91" customFormat="1">
      <c r="B251" s="122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  <c r="AA251" s="123"/>
    </row>
    <row r="252" spans="2:27" s="91" customFormat="1">
      <c r="B252" s="122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</row>
    <row r="253" spans="2:27" s="91" customFormat="1">
      <c r="B253" s="122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</row>
    <row r="254" spans="2:27" s="91" customFormat="1">
      <c r="B254" s="122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</row>
    <row r="255" spans="2:27" s="91" customFormat="1">
      <c r="B255" s="122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</row>
    <row r="256" spans="2:27" s="91" customFormat="1">
      <c r="B256" s="122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</row>
    <row r="257" spans="2:27" s="91" customFormat="1">
      <c r="B257" s="122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</row>
    <row r="258" spans="2:27" s="91" customFormat="1">
      <c r="B258" s="122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</row>
    <row r="259" spans="2:27" s="91" customFormat="1">
      <c r="B259" s="122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</row>
    <row r="260" spans="2:27" s="91" customFormat="1">
      <c r="B260" s="122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</row>
    <row r="261" spans="2:27" s="91" customFormat="1">
      <c r="B261" s="122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</row>
    <row r="262" spans="2:27" s="91" customFormat="1">
      <c r="B262" s="122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</row>
    <row r="263" spans="2:27" s="91" customFormat="1">
      <c r="B263" s="122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</row>
    <row r="264" spans="2:27" s="91" customFormat="1">
      <c r="B264" s="122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</row>
    <row r="265" spans="2:27" s="91" customFormat="1">
      <c r="B265" s="122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</row>
    <row r="266" spans="2:27" s="91" customFormat="1">
      <c r="B266" s="122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</row>
    <row r="267" spans="2:27" s="91" customFormat="1">
      <c r="B267" s="122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</row>
    <row r="268" spans="2:27" s="91" customFormat="1">
      <c r="B268" s="122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</row>
    <row r="269" spans="2:27" s="91" customFormat="1">
      <c r="B269" s="122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</row>
    <row r="270" spans="2:27" s="91" customFormat="1">
      <c r="B270" s="122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</row>
    <row r="271" spans="2:27" s="91" customFormat="1">
      <c r="B271" s="122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</row>
    <row r="272" spans="2:27" s="91" customFormat="1">
      <c r="B272" s="122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</row>
    <row r="273" spans="2:27" s="91" customFormat="1">
      <c r="B273" s="122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</row>
    <row r="274" spans="2:27" s="91" customFormat="1">
      <c r="B274" s="122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</row>
    <row r="275" spans="2:27" s="91" customFormat="1">
      <c r="B275" s="122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</row>
    <row r="276" spans="2:27" s="91" customFormat="1">
      <c r="B276" s="122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</row>
    <row r="277" spans="2:27" s="91" customFormat="1">
      <c r="B277" s="122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</row>
    <row r="278" spans="2:27" s="91" customFormat="1">
      <c r="B278" s="122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</row>
    <row r="279" spans="2:27" s="91" customFormat="1">
      <c r="B279" s="122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</row>
    <row r="280" spans="2:27" s="91" customFormat="1">
      <c r="B280" s="122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</row>
    <row r="281" spans="2:27" s="91" customFormat="1">
      <c r="B281" s="122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</row>
    <row r="282" spans="2:27" s="91" customFormat="1">
      <c r="B282" s="122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</row>
    <row r="283" spans="2:27" s="91" customFormat="1">
      <c r="B283" s="122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</row>
    <row r="284" spans="2:27" s="91" customFormat="1">
      <c r="B284" s="122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</row>
    <row r="285" spans="2:27" s="91" customFormat="1">
      <c r="B285" s="122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</row>
    <row r="286" spans="2:27" s="91" customFormat="1">
      <c r="B286" s="122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</row>
    <row r="287" spans="2:27" s="91" customFormat="1">
      <c r="B287" s="122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</row>
    <row r="288" spans="2:27" s="91" customFormat="1">
      <c r="B288" s="122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</row>
    <row r="289" spans="2:27" s="91" customFormat="1">
      <c r="B289" s="122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</row>
    <row r="290" spans="2:27" s="91" customFormat="1">
      <c r="B290" s="122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</row>
    <row r="291" spans="2:27" s="91" customFormat="1">
      <c r="B291" s="122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</row>
    <row r="292" spans="2:27" s="91" customFormat="1">
      <c r="B292" s="122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</row>
    <row r="293" spans="2:27" s="91" customFormat="1">
      <c r="B293" s="122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</row>
    <row r="294" spans="2:27" s="91" customFormat="1">
      <c r="B294" s="122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</row>
    <row r="295" spans="2:27" s="91" customFormat="1">
      <c r="B295" s="122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</row>
    <row r="296" spans="2:27" s="91" customFormat="1">
      <c r="B296" s="122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</row>
    <row r="297" spans="2:27" s="91" customFormat="1">
      <c r="B297" s="122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</row>
    <row r="298" spans="2:27" s="91" customFormat="1">
      <c r="B298" s="122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</row>
    <row r="299" spans="2:27" s="91" customFormat="1">
      <c r="B299" s="122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</row>
    <row r="300" spans="2:27" s="91" customFormat="1">
      <c r="B300" s="122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</row>
    <row r="301" spans="2:27" s="91" customFormat="1">
      <c r="B301" s="122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</row>
    <row r="302" spans="2:27" s="91" customFormat="1">
      <c r="B302" s="122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</row>
    <row r="303" spans="2:27" s="91" customFormat="1">
      <c r="B303" s="122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</row>
    <row r="304" spans="2:27" s="91" customFormat="1">
      <c r="B304" s="122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</row>
    <row r="305" spans="2:27" s="91" customFormat="1">
      <c r="B305" s="122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</row>
    <row r="306" spans="2:27" s="91" customFormat="1">
      <c r="B306" s="122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</row>
    <row r="307" spans="2:27" s="91" customFormat="1">
      <c r="B307" s="122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</row>
    <row r="308" spans="2:27" s="91" customFormat="1">
      <c r="B308" s="122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</row>
    <row r="309" spans="2:27" s="91" customFormat="1">
      <c r="B309" s="122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</row>
    <row r="310" spans="2:27" s="91" customFormat="1">
      <c r="B310" s="122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</row>
    <row r="311" spans="2:27" s="91" customFormat="1">
      <c r="B311" s="122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123"/>
    </row>
    <row r="312" spans="2:27" s="91" customFormat="1">
      <c r="B312" s="122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</row>
    <row r="313" spans="2:27" s="91" customFormat="1">
      <c r="B313" s="122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</row>
    <row r="314" spans="2:27" s="91" customFormat="1">
      <c r="B314" s="122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</row>
    <row r="315" spans="2:27" s="91" customFormat="1">
      <c r="B315" s="122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</row>
    <row r="316" spans="2:27" s="91" customFormat="1">
      <c r="B316" s="122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</row>
    <row r="317" spans="2:27" s="91" customFormat="1">
      <c r="B317" s="122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</row>
    <row r="318" spans="2:27" s="91" customFormat="1">
      <c r="B318" s="122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</row>
    <row r="319" spans="2:27" s="91" customFormat="1">
      <c r="B319" s="122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</row>
    <row r="320" spans="2:27" s="91" customFormat="1">
      <c r="B320" s="122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</row>
    <row r="321" spans="2:27" s="91" customFormat="1">
      <c r="B321" s="122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</row>
    <row r="322" spans="2:27" s="91" customFormat="1">
      <c r="B322" s="122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</row>
    <row r="323" spans="2:27" s="91" customFormat="1">
      <c r="B323" s="122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</row>
    <row r="324" spans="2:27" s="91" customFormat="1">
      <c r="B324" s="122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</row>
    <row r="325" spans="2:27" s="91" customFormat="1">
      <c r="B325" s="122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</row>
    <row r="326" spans="2:27" s="91" customFormat="1">
      <c r="B326" s="122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</row>
    <row r="327" spans="2:27" s="91" customFormat="1">
      <c r="B327" s="122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</row>
    <row r="328" spans="2:27" s="91" customFormat="1">
      <c r="B328" s="122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</row>
    <row r="329" spans="2:27" s="91" customFormat="1">
      <c r="B329" s="122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  <c r="AA329" s="123"/>
    </row>
    <row r="330" spans="2:27" s="91" customFormat="1">
      <c r="B330" s="122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</row>
    <row r="331" spans="2:27" s="91" customFormat="1">
      <c r="B331" s="122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  <c r="AA331" s="123"/>
    </row>
    <row r="332" spans="2:27" s="91" customFormat="1">
      <c r="B332" s="122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</row>
    <row r="333" spans="2:27" s="91" customFormat="1">
      <c r="B333" s="122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  <c r="AA333" s="123"/>
    </row>
    <row r="334" spans="2:27" s="91" customFormat="1">
      <c r="B334" s="122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</row>
    <row r="335" spans="2:27" s="91" customFormat="1">
      <c r="B335" s="122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</row>
    <row r="336" spans="2:27" s="91" customFormat="1">
      <c r="B336" s="122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</row>
    <row r="337" spans="2:27" s="91" customFormat="1">
      <c r="B337" s="122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</row>
    <row r="338" spans="2:27" s="91" customFormat="1">
      <c r="B338" s="122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</row>
    <row r="339" spans="2:27" s="91" customFormat="1">
      <c r="B339" s="122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</row>
    <row r="340" spans="2:27" s="91" customFormat="1">
      <c r="B340" s="122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</row>
    <row r="341" spans="2:27" s="91" customFormat="1">
      <c r="B341" s="122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</row>
    <row r="342" spans="2:27" s="91" customFormat="1">
      <c r="B342" s="122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</row>
    <row r="343" spans="2:27" s="91" customFormat="1">
      <c r="B343" s="122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</row>
    <row r="344" spans="2:27" s="91" customFormat="1">
      <c r="B344" s="122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</row>
    <row r="345" spans="2:27" s="91" customFormat="1">
      <c r="B345" s="122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</row>
    <row r="346" spans="2:27" s="91" customFormat="1">
      <c r="B346" s="122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</row>
    <row r="347" spans="2:27" s="91" customFormat="1">
      <c r="B347" s="122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</row>
    <row r="348" spans="2:27" s="91" customFormat="1">
      <c r="B348" s="122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</row>
    <row r="349" spans="2:27" s="91" customFormat="1">
      <c r="B349" s="122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</row>
    <row r="350" spans="2:27" s="91" customFormat="1">
      <c r="B350" s="122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</row>
    <row r="351" spans="2:27" s="91" customFormat="1">
      <c r="B351" s="122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  <c r="AA351" s="123"/>
    </row>
    <row r="352" spans="2:27" s="91" customFormat="1">
      <c r="B352" s="122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</row>
    <row r="353" spans="2:27" s="91" customFormat="1">
      <c r="B353" s="122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</row>
    <row r="354" spans="2:27" s="91" customFormat="1">
      <c r="B354" s="122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</row>
    <row r="355" spans="2:27" s="91" customFormat="1">
      <c r="B355" s="122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</row>
    <row r="356" spans="2:27" s="91" customFormat="1">
      <c r="B356" s="122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</row>
    <row r="357" spans="2:27" s="91" customFormat="1">
      <c r="B357" s="122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</row>
    <row r="358" spans="2:27" s="91" customFormat="1">
      <c r="B358" s="122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</row>
    <row r="359" spans="2:27" s="91" customFormat="1">
      <c r="B359" s="122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</row>
    <row r="360" spans="2:27" s="91" customFormat="1">
      <c r="B360" s="122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</row>
    <row r="361" spans="2:27" s="91" customFormat="1">
      <c r="B361" s="122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</row>
    <row r="362" spans="2:27" s="91" customFormat="1">
      <c r="B362" s="122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</row>
    <row r="363" spans="2:27" s="91" customFormat="1">
      <c r="B363" s="122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</row>
    <row r="364" spans="2:27" s="91" customFormat="1">
      <c r="B364" s="122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</row>
    <row r="365" spans="2:27" s="91" customFormat="1">
      <c r="B365" s="122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  <c r="AA365" s="123"/>
    </row>
    <row r="366" spans="2:27" s="91" customFormat="1">
      <c r="B366" s="122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</row>
    <row r="367" spans="2:27" s="91" customFormat="1">
      <c r="B367" s="122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</row>
    <row r="368" spans="2:27" s="91" customFormat="1">
      <c r="B368" s="122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</row>
    <row r="369" spans="2:27" s="91" customFormat="1">
      <c r="B369" s="122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</row>
    <row r="370" spans="2:27" s="91" customFormat="1">
      <c r="B370" s="122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</row>
    <row r="371" spans="2:27" s="91" customFormat="1">
      <c r="B371" s="122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</row>
    <row r="372" spans="2:27" s="91" customFormat="1">
      <c r="B372" s="122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</row>
    <row r="373" spans="2:27" s="91" customFormat="1">
      <c r="B373" s="122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</row>
    <row r="374" spans="2:27" s="91" customFormat="1">
      <c r="B374" s="122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</row>
    <row r="375" spans="2:27" s="91" customFormat="1">
      <c r="B375" s="122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  <c r="AA375" s="123"/>
    </row>
    <row r="376" spans="2:27" s="91" customFormat="1">
      <c r="B376" s="122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</row>
    <row r="377" spans="2:27" s="91" customFormat="1">
      <c r="B377" s="122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</row>
    <row r="378" spans="2:27" s="91" customFormat="1">
      <c r="B378" s="122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</row>
    <row r="379" spans="2:27" s="91" customFormat="1">
      <c r="B379" s="122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</row>
  </sheetData>
  <mergeCells count="174">
    <mergeCell ref="A5:C6"/>
    <mergeCell ref="D5:E5"/>
    <mergeCell ref="F5:G6"/>
    <mergeCell ref="H5:I6"/>
    <mergeCell ref="K5:K6"/>
    <mergeCell ref="M5:O6"/>
    <mergeCell ref="P5:AA5"/>
    <mergeCell ref="D6:E6"/>
    <mergeCell ref="P6:S6"/>
    <mergeCell ref="T6:U6"/>
    <mergeCell ref="V6:W6"/>
    <mergeCell ref="X6:Z6"/>
    <mergeCell ref="E3:N3"/>
    <mergeCell ref="R3:S3"/>
    <mergeCell ref="T3:W3"/>
    <mergeCell ref="K4:S4"/>
    <mergeCell ref="A7:AA7"/>
    <mergeCell ref="A8:B11"/>
    <mergeCell ref="D8:E9"/>
    <mergeCell ref="F8:F11"/>
    <mergeCell ref="G8:G9"/>
    <mergeCell ref="H8:I11"/>
    <mergeCell ref="K8:K11"/>
    <mergeCell ref="M8:N11"/>
    <mergeCell ref="P8:Q8"/>
    <mergeCell ref="R8:S8"/>
    <mergeCell ref="AA8:AA11"/>
    <mergeCell ref="P9:Q9"/>
    <mergeCell ref="R9:S9"/>
    <mergeCell ref="X9:Y9"/>
    <mergeCell ref="D10:E11"/>
    <mergeCell ref="G10:G11"/>
    <mergeCell ref="P10:Q10"/>
    <mergeCell ref="R10:S10"/>
    <mergeCell ref="X10:Y10"/>
    <mergeCell ref="P11:Q11"/>
    <mergeCell ref="R11:S11"/>
    <mergeCell ref="X11:Y11"/>
    <mergeCell ref="A12:N12"/>
    <mergeCell ref="P12:S12"/>
    <mergeCell ref="T12:U12"/>
    <mergeCell ref="V12:W12"/>
    <mergeCell ref="X12:Z12"/>
    <mergeCell ref="X8:Y8"/>
    <mergeCell ref="AA13:AA16"/>
    <mergeCell ref="P14:Q14"/>
    <mergeCell ref="R14:S14"/>
    <mergeCell ref="X14:Y14"/>
    <mergeCell ref="P15:Q15"/>
    <mergeCell ref="R15:S15"/>
    <mergeCell ref="A13:B16"/>
    <mergeCell ref="D13:E14"/>
    <mergeCell ref="F13:F16"/>
    <mergeCell ref="G13:G14"/>
    <mergeCell ref="H13:I16"/>
    <mergeCell ref="K13:K16"/>
    <mergeCell ref="D15:E16"/>
    <mergeCell ref="G15:G16"/>
    <mergeCell ref="X15:Y15"/>
    <mergeCell ref="P16:Q16"/>
    <mergeCell ref="R16:S16"/>
    <mergeCell ref="X16:Y16"/>
    <mergeCell ref="A17:N17"/>
    <mergeCell ref="P17:S17"/>
    <mergeCell ref="T17:U17"/>
    <mergeCell ref="V17:W17"/>
    <mergeCell ref="X17:Z17"/>
    <mergeCell ref="M13:N16"/>
    <mergeCell ref="P13:Q13"/>
    <mergeCell ref="R13:S13"/>
    <mergeCell ref="X13:Y13"/>
    <mergeCell ref="AA18:AA21"/>
    <mergeCell ref="P19:Q19"/>
    <mergeCell ref="R19:S19"/>
    <mergeCell ref="X19:Y19"/>
    <mergeCell ref="P20:Q20"/>
    <mergeCell ref="R20:S20"/>
    <mergeCell ref="A18:B21"/>
    <mergeCell ref="D18:E19"/>
    <mergeCell ref="F18:F21"/>
    <mergeCell ref="G18:G19"/>
    <mergeCell ref="H18:I21"/>
    <mergeCell ref="K18:K21"/>
    <mergeCell ref="D20:E21"/>
    <mergeCell ref="G20:G21"/>
    <mergeCell ref="X20:Y20"/>
    <mergeCell ref="P21:Q21"/>
    <mergeCell ref="R21:S21"/>
    <mergeCell ref="X21:Y21"/>
    <mergeCell ref="A22:N22"/>
    <mergeCell ref="P22:S22"/>
    <mergeCell ref="T22:U22"/>
    <mergeCell ref="V22:W22"/>
    <mergeCell ref="X22:Z22"/>
    <mergeCell ref="M18:N21"/>
    <mergeCell ref="P18:Q18"/>
    <mergeCell ref="R18:S18"/>
    <mergeCell ref="X18:Y18"/>
    <mergeCell ref="AA23:AA26"/>
    <mergeCell ref="P24:Q24"/>
    <mergeCell ref="R24:S24"/>
    <mergeCell ref="X24:Y24"/>
    <mergeCell ref="P25:Q25"/>
    <mergeCell ref="R25:S25"/>
    <mergeCell ref="A23:B26"/>
    <mergeCell ref="D23:E24"/>
    <mergeCell ref="F23:F26"/>
    <mergeCell ref="G23:G24"/>
    <mergeCell ref="H23:I26"/>
    <mergeCell ref="K23:K26"/>
    <mergeCell ref="D25:E26"/>
    <mergeCell ref="G25:G26"/>
    <mergeCell ref="X25:Y25"/>
    <mergeCell ref="P26:Q26"/>
    <mergeCell ref="R26:S26"/>
    <mergeCell ref="X26:Y26"/>
    <mergeCell ref="A27:N27"/>
    <mergeCell ref="P27:S27"/>
    <mergeCell ref="T27:U27"/>
    <mergeCell ref="V27:W27"/>
    <mergeCell ref="X27:Z27"/>
    <mergeCell ref="M23:N26"/>
    <mergeCell ref="P23:Q23"/>
    <mergeCell ref="R23:S23"/>
    <mergeCell ref="X23:Y23"/>
    <mergeCell ref="AA28:AA31"/>
    <mergeCell ref="P29:Q29"/>
    <mergeCell ref="R29:S29"/>
    <mergeCell ref="X29:Y29"/>
    <mergeCell ref="P30:Q30"/>
    <mergeCell ref="R30:S30"/>
    <mergeCell ref="A28:B31"/>
    <mergeCell ref="D28:E29"/>
    <mergeCell ref="F28:F31"/>
    <mergeCell ref="G28:G29"/>
    <mergeCell ref="H28:I31"/>
    <mergeCell ref="K28:K31"/>
    <mergeCell ref="D30:E31"/>
    <mergeCell ref="G30:G31"/>
    <mergeCell ref="A33:B36"/>
    <mergeCell ref="D33:E34"/>
    <mergeCell ref="F33:F36"/>
    <mergeCell ref="G33:G34"/>
    <mergeCell ref="H33:I36"/>
    <mergeCell ref="K33:K36"/>
    <mergeCell ref="D35:E36"/>
    <mergeCell ref="G35:G36"/>
    <mergeCell ref="X30:Y30"/>
    <mergeCell ref="P31:Q31"/>
    <mergeCell ref="R31:S31"/>
    <mergeCell ref="X31:Y31"/>
    <mergeCell ref="A32:N32"/>
    <mergeCell ref="P32:S32"/>
    <mergeCell ref="T32:U32"/>
    <mergeCell ref="V32:W32"/>
    <mergeCell ref="X32:Z32"/>
    <mergeCell ref="M28:N31"/>
    <mergeCell ref="P28:Q28"/>
    <mergeCell ref="R28:S28"/>
    <mergeCell ref="X28:Y28"/>
    <mergeCell ref="X35:Y35"/>
    <mergeCell ref="P36:Q36"/>
    <mergeCell ref="R36:S36"/>
    <mergeCell ref="X36:Y36"/>
    <mergeCell ref="M33:N36"/>
    <mergeCell ref="P33:Q33"/>
    <mergeCell ref="R33:S33"/>
    <mergeCell ref="X33:Y33"/>
    <mergeCell ref="AA33:AA36"/>
    <mergeCell ref="P34:Q34"/>
    <mergeCell ref="R34:S34"/>
    <mergeCell ref="X34:Y34"/>
    <mergeCell ref="P35:Q35"/>
    <mergeCell ref="R35:S35"/>
  </mergeCells>
  <pageMargins left="0.7" right="0.7" top="0.75" bottom="0.75" header="0.3" footer="0.3"/>
  <pageSetup paperSize="9" scale="10" orientation="landscape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Mağaza Data</vt:lpstr>
      <vt:lpstr>Personel Hedef</vt:lpstr>
      <vt:lpstr>Servis Planı</vt:lpstr>
      <vt:lpstr>Giriş Çıkış Formu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magaza.mudur</dc:creator>
  <cp:lastModifiedBy>Mustafa Berat Dağıtmaç</cp:lastModifiedBy>
  <cp:lastPrinted>2026-10-16T06:43:50Z</cp:lastPrinted>
  <dcterms:created xsi:type="dcterms:W3CDTF">2015-06-05T18:19:34Z</dcterms:created>
  <dcterms:modified xsi:type="dcterms:W3CDTF">2026-10-17T07:27:33Z</dcterms:modified>
</cp:coreProperties>
</file>