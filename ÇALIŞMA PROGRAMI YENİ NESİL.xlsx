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gaza.mudur\Desktop\"/>
    </mc:Choice>
  </mc:AlternateContent>
  <xr:revisionPtr revIDLastSave="0" documentId="13_ncr:1_{0E8DB4F2-E3DD-43C2-B51B-309DB2816351}" xr6:coauthVersionLast="47" xr6:coauthVersionMax="47" xr10:uidLastSave="{00000000-0000-0000-0000-000000000000}"/>
  <bookViews>
    <workbookView xWindow="-108" yWindow="-108" windowWidth="23256" windowHeight="12456" tabRatio="585" firstSheet="1" activeTab="8" xr2:uid="{00000000-000D-0000-FFFF-FFFF00000000}"/>
  </bookViews>
  <sheets>
    <sheet name="MOLA SAATLERİ" sheetId="11" state="hidden" r:id="rId1"/>
    <sheet name="W36" sheetId="8" r:id="rId2"/>
    <sheet name="W37" sheetId="16" r:id="rId3"/>
    <sheet name="W38" sheetId="13" r:id="rId4"/>
    <sheet name="W39" sheetId="15" r:id="rId5"/>
    <sheet name="W40" sheetId="17" r:id="rId6"/>
    <sheet name="W41" sheetId="18" r:id="rId7"/>
    <sheet name="W42" sheetId="20" r:id="rId8"/>
    <sheet name="W43" sheetId="21" r:id="rId9"/>
    <sheet name="Sayfa1" sheetId="9" state="hidden" r:id="rId10"/>
  </sheets>
  <definedNames>
    <definedName name="MEHMET_AK" comment="SUPERVISOR">#REF!</definedName>
    <definedName name="SUPERVIS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21" l="1"/>
  <c r="AJ14" i="21"/>
  <c r="AE14" i="21"/>
  <c r="Z14" i="21"/>
  <c r="U14" i="21"/>
  <c r="P14" i="21"/>
  <c r="K14" i="21"/>
  <c r="F14" i="21"/>
  <c r="AJ13" i="21"/>
  <c r="AF13" i="21"/>
  <c r="AE13" i="21"/>
  <c r="AG13" i="21" s="1"/>
  <c r="Z13" i="21"/>
  <c r="U13" i="21"/>
  <c r="P13" i="21"/>
  <c r="K13" i="21"/>
  <c r="F13" i="21"/>
  <c r="AJ12" i="21"/>
  <c r="AE12" i="21"/>
  <c r="Z12" i="21"/>
  <c r="U12" i="21"/>
  <c r="P12" i="21"/>
  <c r="K12" i="21"/>
  <c r="F12" i="21"/>
  <c r="AJ11" i="21"/>
  <c r="AE11" i="21"/>
  <c r="Z11" i="21"/>
  <c r="U11" i="21"/>
  <c r="P11" i="21"/>
  <c r="K11" i="21"/>
  <c r="F11" i="21"/>
  <c r="AJ10" i="21"/>
  <c r="AE10" i="21"/>
  <c r="Z10" i="21"/>
  <c r="U10" i="21"/>
  <c r="P10" i="21"/>
  <c r="K10" i="21"/>
  <c r="L10" i="21" s="1"/>
  <c r="M10" i="21" s="1"/>
  <c r="F10" i="21"/>
  <c r="AJ9" i="21"/>
  <c r="AE9" i="21"/>
  <c r="Z9" i="21"/>
  <c r="U9" i="21"/>
  <c r="P9" i="21"/>
  <c r="K9" i="21"/>
  <c r="F9" i="21"/>
  <c r="AJ8" i="21"/>
  <c r="AE8" i="21"/>
  <c r="Z8" i="21"/>
  <c r="U8" i="21"/>
  <c r="P8" i="21"/>
  <c r="K8" i="21"/>
  <c r="F8" i="21"/>
  <c r="AJ7" i="21"/>
  <c r="AK7" i="21" s="1"/>
  <c r="AL7" i="21" s="1"/>
  <c r="AE7" i="21"/>
  <c r="Z7" i="21"/>
  <c r="U7" i="21"/>
  <c r="P7" i="21"/>
  <c r="K7" i="21"/>
  <c r="F7" i="21"/>
  <c r="AJ6" i="21"/>
  <c r="AE6" i="21"/>
  <c r="Z6" i="21"/>
  <c r="U6" i="21"/>
  <c r="P6" i="21"/>
  <c r="K6" i="21"/>
  <c r="F6" i="21"/>
  <c r="AJ5" i="21"/>
  <c r="AE5" i="21"/>
  <c r="Z5" i="21"/>
  <c r="U5" i="21"/>
  <c r="P5" i="21"/>
  <c r="K5" i="21"/>
  <c r="F5" i="21"/>
  <c r="AJ4" i="21"/>
  <c r="AE4" i="21"/>
  <c r="Z4" i="21"/>
  <c r="U4" i="21"/>
  <c r="P4" i="21"/>
  <c r="K4" i="21"/>
  <c r="F4" i="21"/>
  <c r="AJ3" i="21"/>
  <c r="AE3" i="21"/>
  <c r="Z3" i="21"/>
  <c r="U3" i="21"/>
  <c r="P3" i="21"/>
  <c r="K3" i="21"/>
  <c r="F3" i="21"/>
  <c r="I1" i="21"/>
  <c r="N1" i="21" s="1"/>
  <c r="S1" i="21" s="1"/>
  <c r="X1" i="21" s="1"/>
  <c r="AC1" i="21" s="1"/>
  <c r="AH1" i="21" s="1"/>
  <c r="I26" i="20"/>
  <c r="AJ14" i="20"/>
  <c r="AE14" i="20"/>
  <c r="Z14" i="20"/>
  <c r="U14" i="20"/>
  <c r="P14" i="20"/>
  <c r="K14" i="20"/>
  <c r="F14" i="20"/>
  <c r="AJ13" i="20"/>
  <c r="AE13" i="20"/>
  <c r="Z13" i="20"/>
  <c r="U13" i="20"/>
  <c r="P13" i="20"/>
  <c r="K13" i="20"/>
  <c r="F13" i="20"/>
  <c r="AJ12" i="20"/>
  <c r="AE12" i="20"/>
  <c r="Z12" i="20"/>
  <c r="U12" i="20"/>
  <c r="P12" i="20"/>
  <c r="K12" i="20"/>
  <c r="F12" i="20"/>
  <c r="AJ11" i="20"/>
  <c r="AE11" i="20"/>
  <c r="Z11" i="20"/>
  <c r="U11" i="20"/>
  <c r="P11" i="20"/>
  <c r="K11" i="20"/>
  <c r="F11" i="20"/>
  <c r="AJ10" i="20"/>
  <c r="AE10" i="20"/>
  <c r="Z10" i="20"/>
  <c r="U10" i="20"/>
  <c r="P10" i="20"/>
  <c r="K10" i="20"/>
  <c r="F10" i="20"/>
  <c r="AJ9" i="20"/>
  <c r="AE9" i="20"/>
  <c r="Z9" i="20"/>
  <c r="U9" i="20"/>
  <c r="P9" i="20"/>
  <c r="K9" i="20"/>
  <c r="F9" i="20"/>
  <c r="AJ8" i="20"/>
  <c r="AE8" i="20"/>
  <c r="Z8" i="20"/>
  <c r="U8" i="20"/>
  <c r="P8" i="20"/>
  <c r="K8" i="20"/>
  <c r="F8" i="20"/>
  <c r="AJ7" i="20"/>
  <c r="AE7" i="20"/>
  <c r="Z7" i="20"/>
  <c r="U7" i="20"/>
  <c r="P7" i="20"/>
  <c r="K7" i="20"/>
  <c r="F7" i="20"/>
  <c r="AJ6" i="20"/>
  <c r="AE6" i="20"/>
  <c r="Z6" i="20"/>
  <c r="U6" i="20"/>
  <c r="P6" i="20"/>
  <c r="K6" i="20"/>
  <c r="F6" i="20"/>
  <c r="AJ5" i="20"/>
  <c r="AE5" i="20"/>
  <c r="AF5" i="20" s="1"/>
  <c r="Z5" i="20"/>
  <c r="U5" i="20"/>
  <c r="P5" i="20"/>
  <c r="K5" i="20"/>
  <c r="F5" i="20"/>
  <c r="AJ4" i="20"/>
  <c r="AE4" i="20"/>
  <c r="Z4" i="20"/>
  <c r="U4" i="20"/>
  <c r="P4" i="20"/>
  <c r="K4" i="20"/>
  <c r="F4" i="20"/>
  <c r="AJ3" i="20"/>
  <c r="AE3" i="20"/>
  <c r="Z3" i="20"/>
  <c r="U3" i="20"/>
  <c r="P3" i="20"/>
  <c r="K3" i="20"/>
  <c r="F3" i="20"/>
  <c r="I1" i="20"/>
  <c r="N1" i="20" s="1"/>
  <c r="S1" i="20" s="1"/>
  <c r="X1" i="20" s="1"/>
  <c r="AC1" i="20" s="1"/>
  <c r="AH1" i="20" s="1"/>
  <c r="I26" i="18"/>
  <c r="AJ14" i="18"/>
  <c r="AE14" i="18"/>
  <c r="Z14" i="18"/>
  <c r="U14" i="18"/>
  <c r="P14" i="18"/>
  <c r="K14" i="18"/>
  <c r="F14" i="18"/>
  <c r="AJ13" i="18"/>
  <c r="AE13" i="18"/>
  <c r="Z13" i="18"/>
  <c r="U13" i="18"/>
  <c r="P13" i="18"/>
  <c r="K13" i="18"/>
  <c r="F13" i="18"/>
  <c r="AJ12" i="18"/>
  <c r="AE12" i="18"/>
  <c r="Z12" i="18"/>
  <c r="U12" i="18"/>
  <c r="P12" i="18"/>
  <c r="K12" i="18"/>
  <c r="F12" i="18"/>
  <c r="AJ11" i="18"/>
  <c r="AE11" i="18"/>
  <c r="Z11" i="18"/>
  <c r="U11" i="18"/>
  <c r="P11" i="18"/>
  <c r="K11" i="18"/>
  <c r="L11" i="18" s="1"/>
  <c r="M11" i="18" s="1"/>
  <c r="F11" i="18"/>
  <c r="AJ10" i="18"/>
  <c r="AE10" i="18"/>
  <c r="Z10" i="18"/>
  <c r="U10" i="18"/>
  <c r="P10" i="18"/>
  <c r="K10" i="18"/>
  <c r="F10" i="18"/>
  <c r="AJ9" i="18"/>
  <c r="AE9" i="18"/>
  <c r="Z9" i="18"/>
  <c r="U9" i="18"/>
  <c r="P9" i="18"/>
  <c r="K9" i="18"/>
  <c r="F9" i="18"/>
  <c r="AJ8" i="18"/>
  <c r="AE8" i="18"/>
  <c r="Z8" i="18"/>
  <c r="U8" i="18"/>
  <c r="P8" i="18"/>
  <c r="K8" i="18"/>
  <c r="F8" i="18"/>
  <c r="AJ7" i="18"/>
  <c r="AE7" i="18"/>
  <c r="Z7" i="18"/>
  <c r="U7" i="18"/>
  <c r="P7" i="18"/>
  <c r="K7" i="18"/>
  <c r="F7" i="18"/>
  <c r="AJ6" i="18"/>
  <c r="AE6" i="18"/>
  <c r="Z6" i="18"/>
  <c r="U6" i="18"/>
  <c r="P6" i="18"/>
  <c r="K6" i="18"/>
  <c r="F6" i="18"/>
  <c r="AJ5" i="18"/>
  <c r="AE5" i="18"/>
  <c r="Z5" i="18"/>
  <c r="U5" i="18"/>
  <c r="P5" i="18"/>
  <c r="K5" i="18"/>
  <c r="F5" i="18"/>
  <c r="AJ4" i="18"/>
  <c r="AE4" i="18"/>
  <c r="Z4" i="18"/>
  <c r="U4" i="18"/>
  <c r="P4" i="18"/>
  <c r="K4" i="18"/>
  <c r="F4" i="18"/>
  <c r="AJ3" i="18"/>
  <c r="AE3" i="18"/>
  <c r="Z3" i="18"/>
  <c r="U3" i="18"/>
  <c r="P3" i="18"/>
  <c r="K3" i="18"/>
  <c r="F3" i="18"/>
  <c r="I1" i="18"/>
  <c r="N1" i="18" s="1"/>
  <c r="S1" i="18" s="1"/>
  <c r="X1" i="18" s="1"/>
  <c r="AC1" i="18" s="1"/>
  <c r="AH1" i="18" s="1"/>
  <c r="I22" i="17"/>
  <c r="I28" i="17"/>
  <c r="I27" i="17"/>
  <c r="I26" i="17"/>
  <c r="I25" i="17"/>
  <c r="I24" i="17"/>
  <c r="I23" i="17"/>
  <c r="I21" i="17"/>
  <c r="AH1" i="17"/>
  <c r="AC1" i="17"/>
  <c r="X1" i="17"/>
  <c r="S1" i="17"/>
  <c r="N1" i="17"/>
  <c r="I1" i="17"/>
  <c r="AJ14" i="17"/>
  <c r="AE14" i="17"/>
  <c r="Z14" i="17"/>
  <c r="U14" i="17"/>
  <c r="P14" i="17"/>
  <c r="K14" i="17"/>
  <c r="F14" i="17"/>
  <c r="AJ13" i="17"/>
  <c r="AE13" i="17"/>
  <c r="Z13" i="17"/>
  <c r="U13" i="17"/>
  <c r="P13" i="17"/>
  <c r="K13" i="17"/>
  <c r="F13" i="17"/>
  <c r="AJ12" i="17"/>
  <c r="AE12" i="17"/>
  <c r="Z12" i="17"/>
  <c r="U12" i="17"/>
  <c r="P12" i="17"/>
  <c r="L12" i="17"/>
  <c r="K12" i="17"/>
  <c r="M12" i="17" s="1"/>
  <c r="F12" i="17"/>
  <c r="AJ11" i="17"/>
  <c r="AE11" i="17"/>
  <c r="Z11" i="17"/>
  <c r="AA11" i="17" s="1"/>
  <c r="U11" i="17"/>
  <c r="P11" i="17"/>
  <c r="K11" i="17"/>
  <c r="F11" i="17"/>
  <c r="AJ10" i="17"/>
  <c r="AE10" i="17"/>
  <c r="Z10" i="17"/>
  <c r="U10" i="17"/>
  <c r="P10" i="17"/>
  <c r="K10" i="17"/>
  <c r="F10" i="17"/>
  <c r="AJ9" i="17"/>
  <c r="AE9" i="17"/>
  <c r="Z9" i="17"/>
  <c r="U9" i="17"/>
  <c r="V9" i="17" s="1"/>
  <c r="W9" i="17" s="1"/>
  <c r="P9" i="17"/>
  <c r="K9" i="17"/>
  <c r="F9" i="17"/>
  <c r="AJ8" i="17"/>
  <c r="AE8" i="17"/>
  <c r="Z8" i="17"/>
  <c r="U8" i="17"/>
  <c r="P8" i="17"/>
  <c r="K8" i="17"/>
  <c r="F8" i="17"/>
  <c r="AJ7" i="17"/>
  <c r="AE7" i="17"/>
  <c r="Z7" i="17"/>
  <c r="U7" i="17"/>
  <c r="P7" i="17"/>
  <c r="K7" i="17"/>
  <c r="F7" i="17"/>
  <c r="AJ6" i="17"/>
  <c r="AE6" i="17"/>
  <c r="Z6" i="17"/>
  <c r="U6" i="17"/>
  <c r="P6" i="17"/>
  <c r="K6" i="17"/>
  <c r="F6" i="17"/>
  <c r="AJ5" i="17"/>
  <c r="AE5" i="17"/>
  <c r="Z5" i="17"/>
  <c r="U5" i="17"/>
  <c r="P5" i="17"/>
  <c r="K5" i="17"/>
  <c r="F5" i="17"/>
  <c r="AJ4" i="17"/>
  <c r="AE4" i="17"/>
  <c r="Z4" i="17"/>
  <c r="U4" i="17"/>
  <c r="P4" i="17"/>
  <c r="K4" i="17"/>
  <c r="F4" i="17"/>
  <c r="AJ3" i="17"/>
  <c r="AE3" i="17"/>
  <c r="Z3" i="17"/>
  <c r="U3" i="17"/>
  <c r="P3" i="17"/>
  <c r="K3" i="17"/>
  <c r="F3" i="17"/>
  <c r="AL14" i="16"/>
  <c r="AK14" i="16"/>
  <c r="AJ14" i="16"/>
  <c r="AE14" i="16"/>
  <c r="Z14" i="16"/>
  <c r="AA14" i="16" s="1"/>
  <c r="AB14" i="16" s="1"/>
  <c r="W14" i="16"/>
  <c r="V14" i="16"/>
  <c r="U14" i="16"/>
  <c r="Q14" i="16"/>
  <c r="P14" i="16"/>
  <c r="R14" i="16" s="1"/>
  <c r="K14" i="16"/>
  <c r="F14" i="16"/>
  <c r="AJ13" i="16"/>
  <c r="AE13" i="16"/>
  <c r="AA13" i="16"/>
  <c r="AB13" i="16" s="1"/>
  <c r="Z13" i="16"/>
  <c r="V13" i="16"/>
  <c r="U13" i="16"/>
  <c r="W13" i="16" s="1"/>
  <c r="P13" i="16"/>
  <c r="K13" i="16"/>
  <c r="L13" i="16" s="1"/>
  <c r="M13" i="16" s="1"/>
  <c r="G13" i="16"/>
  <c r="H13" i="16" s="1"/>
  <c r="F13" i="16"/>
  <c r="AJ12" i="16"/>
  <c r="AK12" i="16" s="1"/>
  <c r="AL12" i="16" s="1"/>
  <c r="AF12" i="16"/>
  <c r="AG12" i="16" s="1"/>
  <c r="AE12" i="16"/>
  <c r="Z12" i="16"/>
  <c r="U12" i="16"/>
  <c r="P12" i="16"/>
  <c r="Q12" i="16" s="1"/>
  <c r="R12" i="16" s="1"/>
  <c r="L12" i="16"/>
  <c r="M12" i="16" s="1"/>
  <c r="K12" i="16"/>
  <c r="F12" i="16"/>
  <c r="AK11" i="16"/>
  <c r="AL11" i="16" s="1"/>
  <c r="AJ11" i="16"/>
  <c r="AE11" i="16"/>
  <c r="Z11" i="16"/>
  <c r="U11" i="16"/>
  <c r="V11" i="16" s="1"/>
  <c r="W11" i="16" s="1"/>
  <c r="Q11" i="16"/>
  <c r="R11" i="16" s="1"/>
  <c r="P11" i="16"/>
  <c r="K11" i="16"/>
  <c r="L11" i="16" s="1"/>
  <c r="F11" i="16"/>
  <c r="AJ10" i="16"/>
  <c r="AK10" i="16" s="1"/>
  <c r="AE10" i="16"/>
  <c r="Z10" i="16"/>
  <c r="AA10" i="16" s="1"/>
  <c r="AB10" i="16" s="1"/>
  <c r="V10" i="16"/>
  <c r="W10" i="16" s="1"/>
  <c r="U10" i="16"/>
  <c r="P10" i="16"/>
  <c r="K10" i="16"/>
  <c r="F10" i="16"/>
  <c r="G10" i="16" s="1"/>
  <c r="H10" i="16" s="1"/>
  <c r="AJ9" i="16"/>
  <c r="AE9" i="16"/>
  <c r="AF9" i="16" s="1"/>
  <c r="AG9" i="16" s="1"/>
  <c r="AA9" i="16"/>
  <c r="AB9" i="16" s="1"/>
  <c r="Z9" i="16"/>
  <c r="U9" i="16"/>
  <c r="P9" i="16"/>
  <c r="K9" i="16"/>
  <c r="L9" i="16" s="1"/>
  <c r="M9" i="16" s="1"/>
  <c r="G9" i="16"/>
  <c r="H9" i="16" s="1"/>
  <c r="F9" i="16"/>
  <c r="AJ8" i="16"/>
  <c r="AK8" i="16" s="1"/>
  <c r="AL8" i="16" s="1"/>
  <c r="AF8" i="16"/>
  <c r="AG8" i="16" s="1"/>
  <c r="AE8" i="16"/>
  <c r="Z8" i="16"/>
  <c r="U8" i="16"/>
  <c r="P8" i="16"/>
  <c r="Q8" i="16" s="1"/>
  <c r="R8" i="16" s="1"/>
  <c r="L8" i="16"/>
  <c r="M8" i="16" s="1"/>
  <c r="K8" i="16"/>
  <c r="F8" i="16"/>
  <c r="AK7" i="16"/>
  <c r="AL7" i="16" s="1"/>
  <c r="AJ7" i="16"/>
  <c r="AE7" i="16"/>
  <c r="AF7" i="16" s="1"/>
  <c r="Z7" i="16"/>
  <c r="U7" i="16"/>
  <c r="V7" i="16" s="1"/>
  <c r="W7" i="16" s="1"/>
  <c r="Q7" i="16"/>
  <c r="R7" i="16" s="1"/>
  <c r="P7" i="16"/>
  <c r="K7" i="16"/>
  <c r="F7" i="16"/>
  <c r="AJ6" i="16"/>
  <c r="AE6" i="16"/>
  <c r="Z6" i="16"/>
  <c r="AA6" i="16" s="1"/>
  <c r="AB6" i="16" s="1"/>
  <c r="U6" i="16"/>
  <c r="V6" i="16" s="1"/>
  <c r="W6" i="16" s="1"/>
  <c r="P6" i="16"/>
  <c r="Q6" i="16" s="1"/>
  <c r="K6" i="16"/>
  <c r="F6" i="16"/>
  <c r="G6" i="16" s="1"/>
  <c r="H6" i="16" s="1"/>
  <c r="AJ5" i="16"/>
  <c r="AE5" i="16"/>
  <c r="AF5" i="16" s="1"/>
  <c r="AG5" i="16" s="1"/>
  <c r="Z5" i="16"/>
  <c r="AA5" i="16" s="1"/>
  <c r="AB5" i="16" s="1"/>
  <c r="U5" i="16"/>
  <c r="P5" i="16"/>
  <c r="K5" i="16"/>
  <c r="L5" i="16" s="1"/>
  <c r="M5" i="16" s="1"/>
  <c r="F5" i="16"/>
  <c r="G5" i="16" s="1"/>
  <c r="H5" i="16" s="1"/>
  <c r="AJ4" i="16"/>
  <c r="AK4" i="16" s="1"/>
  <c r="AL4" i="16" s="1"/>
  <c r="AF4" i="16"/>
  <c r="AG4" i="16" s="1"/>
  <c r="AE4" i="16"/>
  <c r="Z4" i="16"/>
  <c r="AA4" i="16" s="1"/>
  <c r="U4" i="16"/>
  <c r="P4" i="16"/>
  <c r="Q4" i="16" s="1"/>
  <c r="R4" i="16" s="1"/>
  <c r="L4" i="16"/>
  <c r="M4" i="16" s="1"/>
  <c r="K4" i="16"/>
  <c r="F4" i="16"/>
  <c r="AJ3" i="16"/>
  <c r="AK3" i="16" s="1"/>
  <c r="AL3" i="16" s="1"/>
  <c r="AE3" i="16"/>
  <c r="Z3" i="16"/>
  <c r="U3" i="16"/>
  <c r="V3" i="16" s="1"/>
  <c r="W3" i="16" s="1"/>
  <c r="P3" i="16"/>
  <c r="Q3" i="16" s="1"/>
  <c r="R3" i="16" s="1"/>
  <c r="K3" i="16"/>
  <c r="L3" i="16" s="1"/>
  <c r="F3" i="16"/>
  <c r="AJ14" i="15"/>
  <c r="AE14" i="15"/>
  <c r="Z14" i="15"/>
  <c r="V14" i="15"/>
  <c r="U14" i="15"/>
  <c r="W14" i="15" s="1"/>
  <c r="Q14" i="15"/>
  <c r="R14" i="15" s="1"/>
  <c r="P14" i="15"/>
  <c r="L14" i="15"/>
  <c r="K14" i="15"/>
  <c r="M14" i="15" s="1"/>
  <c r="F14" i="15"/>
  <c r="AK13" i="15"/>
  <c r="AJ13" i="15"/>
  <c r="AL13" i="15" s="1"/>
  <c r="AE13" i="15"/>
  <c r="AA13" i="15"/>
  <c r="AB13" i="15" s="1"/>
  <c r="Z13" i="15"/>
  <c r="U13" i="15"/>
  <c r="V13" i="15" s="1"/>
  <c r="W13" i="15" s="1"/>
  <c r="P13" i="15"/>
  <c r="K13" i="15"/>
  <c r="L13" i="15" s="1"/>
  <c r="G13" i="15"/>
  <c r="F13" i="15"/>
  <c r="H13" i="15" s="1"/>
  <c r="AJ12" i="15"/>
  <c r="AK12" i="15" s="1"/>
  <c r="AF12" i="15"/>
  <c r="AE12" i="15"/>
  <c r="AG12" i="15" s="1"/>
  <c r="Z12" i="15"/>
  <c r="AA12" i="15" s="1"/>
  <c r="V12" i="15"/>
  <c r="U12" i="15"/>
  <c r="W12" i="15" s="1"/>
  <c r="P12" i="15"/>
  <c r="Q12" i="15" s="1"/>
  <c r="R12" i="15" s="1"/>
  <c r="L12" i="15"/>
  <c r="M12" i="15" s="1"/>
  <c r="K12" i="15"/>
  <c r="F12" i="15"/>
  <c r="AK11" i="15"/>
  <c r="AL11" i="15" s="1"/>
  <c r="AJ11" i="15"/>
  <c r="AE11" i="15"/>
  <c r="Z11" i="15"/>
  <c r="U11" i="15"/>
  <c r="V11" i="15" s="1"/>
  <c r="Q11" i="15"/>
  <c r="P11" i="15"/>
  <c r="R11" i="15" s="1"/>
  <c r="K11" i="15"/>
  <c r="L11" i="15" s="1"/>
  <c r="G11" i="15"/>
  <c r="F11" i="15"/>
  <c r="H11" i="15" s="1"/>
  <c r="AJ10" i="15"/>
  <c r="AE10" i="15"/>
  <c r="AF10" i="15" s="1"/>
  <c r="Z10" i="15"/>
  <c r="AA10" i="15" s="1"/>
  <c r="AB10" i="15" s="1"/>
  <c r="U10" i="15"/>
  <c r="V10" i="15" s="1"/>
  <c r="W10" i="15" s="1"/>
  <c r="P10" i="15"/>
  <c r="K10" i="15"/>
  <c r="F10" i="15"/>
  <c r="G10" i="15" s="1"/>
  <c r="AJ9" i="15"/>
  <c r="AE9" i="15"/>
  <c r="AF9" i="15" s="1"/>
  <c r="Z9" i="15"/>
  <c r="AA9" i="15" s="1"/>
  <c r="AB9" i="15" s="1"/>
  <c r="U9" i="15"/>
  <c r="P9" i="15"/>
  <c r="K9" i="15"/>
  <c r="L9" i="15" s="1"/>
  <c r="M9" i="15" s="1"/>
  <c r="F9" i="15"/>
  <c r="G9" i="15" s="1"/>
  <c r="H9" i="15" s="1"/>
  <c r="AJ8" i="15"/>
  <c r="AK8" i="15" s="1"/>
  <c r="AL8" i="15" s="1"/>
  <c r="AE8" i="15"/>
  <c r="AF8" i="15" s="1"/>
  <c r="AG8" i="15" s="1"/>
  <c r="Z8" i="15"/>
  <c r="U8" i="15"/>
  <c r="P8" i="15"/>
  <c r="K8" i="15"/>
  <c r="L8" i="15" s="1"/>
  <c r="M8" i="15" s="1"/>
  <c r="F8" i="15"/>
  <c r="AJ7" i="15"/>
  <c r="AK7" i="15" s="1"/>
  <c r="AL7" i="15" s="1"/>
  <c r="AE7" i="15"/>
  <c r="Z7" i="15"/>
  <c r="AA7" i="15" s="1"/>
  <c r="U7" i="15"/>
  <c r="V7" i="15" s="1"/>
  <c r="W7" i="15" s="1"/>
  <c r="P7" i="15"/>
  <c r="Q7" i="15" s="1"/>
  <c r="R7" i="15" s="1"/>
  <c r="K7" i="15"/>
  <c r="F7" i="15"/>
  <c r="AJ6" i="15"/>
  <c r="AE6" i="15"/>
  <c r="Z6" i="15"/>
  <c r="AA6" i="15" s="1"/>
  <c r="U6" i="15"/>
  <c r="V6" i="15" s="1"/>
  <c r="W6" i="15" s="1"/>
  <c r="P6" i="15"/>
  <c r="K6" i="15"/>
  <c r="L6" i="15" s="1"/>
  <c r="F6" i="15"/>
  <c r="G6" i="15" s="1"/>
  <c r="H6" i="15" s="1"/>
  <c r="AJ5" i="15"/>
  <c r="AE5" i="15"/>
  <c r="AF5" i="15" s="1"/>
  <c r="AG5" i="15" s="1"/>
  <c r="Z5" i="15"/>
  <c r="AA5" i="15" s="1"/>
  <c r="AB5" i="15" s="1"/>
  <c r="U5" i="15"/>
  <c r="V5" i="15" s="1"/>
  <c r="P5" i="15"/>
  <c r="K5" i="15"/>
  <c r="L5" i="15" s="1"/>
  <c r="F5" i="15"/>
  <c r="G5" i="15" s="1"/>
  <c r="H5" i="15" s="1"/>
  <c r="AJ4" i="15"/>
  <c r="AE4" i="15"/>
  <c r="AF4" i="15" s="1"/>
  <c r="AG4" i="15" s="1"/>
  <c r="Z4" i="15"/>
  <c r="AA4" i="15" s="1"/>
  <c r="U4" i="15"/>
  <c r="V4" i="15" s="1"/>
  <c r="P4" i="15"/>
  <c r="Q4" i="15" s="1"/>
  <c r="R4" i="15" s="1"/>
  <c r="K4" i="15"/>
  <c r="L4" i="15" s="1"/>
  <c r="M4" i="15" s="1"/>
  <c r="F4" i="15"/>
  <c r="AJ3" i="15"/>
  <c r="AK3" i="15" s="1"/>
  <c r="AL3" i="15" s="1"/>
  <c r="AE3" i="15"/>
  <c r="AF3" i="15" s="1"/>
  <c r="Z3" i="15"/>
  <c r="U3" i="15"/>
  <c r="V3" i="15" s="1"/>
  <c r="P3" i="15"/>
  <c r="Q3" i="15" s="1"/>
  <c r="R3" i="15" s="1"/>
  <c r="K3" i="15"/>
  <c r="F3" i="15"/>
  <c r="AK14" i="13"/>
  <c r="AL14" i="13" s="1"/>
  <c r="AJ14" i="13"/>
  <c r="AF14" i="13"/>
  <c r="AE14" i="13"/>
  <c r="AG14" i="13" s="1"/>
  <c r="Z14" i="13"/>
  <c r="AA14" i="13" s="1"/>
  <c r="AB14" i="13" s="1"/>
  <c r="V14" i="13"/>
  <c r="W14" i="13" s="1"/>
  <c r="U14" i="13"/>
  <c r="P14" i="13"/>
  <c r="K14" i="13"/>
  <c r="F14" i="13"/>
  <c r="G14" i="13" s="1"/>
  <c r="H14" i="13" s="1"/>
  <c r="AJ13" i="13"/>
  <c r="AE13" i="13"/>
  <c r="AF13" i="13" s="1"/>
  <c r="AG13" i="13" s="1"/>
  <c r="AA13" i="13"/>
  <c r="AB13" i="13" s="1"/>
  <c r="Z13" i="13"/>
  <c r="U13" i="13"/>
  <c r="Q13" i="13"/>
  <c r="P13" i="13"/>
  <c r="R13" i="13" s="1"/>
  <c r="K13" i="13"/>
  <c r="L13" i="13" s="1"/>
  <c r="M13" i="13" s="1"/>
  <c r="G13" i="13"/>
  <c r="H13" i="13" s="1"/>
  <c r="F13" i="13"/>
  <c r="AJ12" i="13"/>
  <c r="AK12" i="13" s="1"/>
  <c r="AL12" i="13" s="1"/>
  <c r="AF12" i="13"/>
  <c r="AG12" i="13" s="1"/>
  <c r="AE12" i="13"/>
  <c r="Z12" i="13"/>
  <c r="U12" i="13"/>
  <c r="P12" i="13"/>
  <c r="Q12" i="13" s="1"/>
  <c r="R12" i="13" s="1"/>
  <c r="L12" i="13"/>
  <c r="M12" i="13" s="1"/>
  <c r="K12" i="13"/>
  <c r="F12" i="13"/>
  <c r="AK11" i="13"/>
  <c r="AL11" i="13" s="1"/>
  <c r="AJ11" i="13"/>
  <c r="AE11" i="13"/>
  <c r="AA11" i="13"/>
  <c r="Z11" i="13"/>
  <c r="AB11" i="13" s="1"/>
  <c r="U11" i="13"/>
  <c r="V11" i="13" s="1"/>
  <c r="W11" i="13" s="1"/>
  <c r="Q11" i="13"/>
  <c r="R11" i="13" s="1"/>
  <c r="P11" i="13"/>
  <c r="K11" i="13"/>
  <c r="F11" i="13"/>
  <c r="AJ10" i="13"/>
  <c r="AE10" i="13"/>
  <c r="Z10" i="13"/>
  <c r="AA10" i="13" s="1"/>
  <c r="AB10" i="13" s="1"/>
  <c r="U10" i="13"/>
  <c r="V10" i="13" s="1"/>
  <c r="W10" i="13" s="1"/>
  <c r="P10" i="13"/>
  <c r="K10" i="13"/>
  <c r="L10" i="13" s="1"/>
  <c r="F10" i="13"/>
  <c r="G10" i="13" s="1"/>
  <c r="H10" i="13" s="1"/>
  <c r="AJ9" i="13"/>
  <c r="AK9" i="13" s="1"/>
  <c r="AE9" i="13"/>
  <c r="AF9" i="13" s="1"/>
  <c r="AG9" i="13" s="1"/>
  <c r="Z9" i="13"/>
  <c r="AA9" i="13" s="1"/>
  <c r="AB9" i="13" s="1"/>
  <c r="U9" i="13"/>
  <c r="P9" i="13"/>
  <c r="K9" i="13"/>
  <c r="L9" i="13" s="1"/>
  <c r="M9" i="13" s="1"/>
  <c r="F9" i="13"/>
  <c r="G9" i="13" s="1"/>
  <c r="H9" i="13" s="1"/>
  <c r="AJ8" i="13"/>
  <c r="AK8" i="13" s="1"/>
  <c r="AL8" i="13" s="1"/>
  <c r="AE8" i="13"/>
  <c r="AF8" i="13" s="1"/>
  <c r="AG8" i="13" s="1"/>
  <c r="Z8" i="13"/>
  <c r="U8" i="13"/>
  <c r="V8" i="13" s="1"/>
  <c r="P8" i="13"/>
  <c r="Q8" i="13" s="1"/>
  <c r="R8" i="13" s="1"/>
  <c r="K8" i="13"/>
  <c r="L8" i="13" s="1"/>
  <c r="M8" i="13" s="1"/>
  <c r="F8" i="13"/>
  <c r="AJ7" i="13"/>
  <c r="AK7" i="13" s="1"/>
  <c r="AL7" i="13" s="1"/>
  <c r="AE7" i="13"/>
  <c r="Z7" i="13"/>
  <c r="U7" i="13"/>
  <c r="V7" i="13" s="1"/>
  <c r="W7" i="13" s="1"/>
  <c r="P7" i="13"/>
  <c r="Q7" i="13" s="1"/>
  <c r="R7" i="13" s="1"/>
  <c r="K7" i="13"/>
  <c r="F7" i="13"/>
  <c r="G7" i="13" s="1"/>
  <c r="AJ6" i="13"/>
  <c r="AE6" i="13"/>
  <c r="Z6" i="13"/>
  <c r="AA6" i="13" s="1"/>
  <c r="AB6" i="13" s="1"/>
  <c r="U6" i="13"/>
  <c r="V6" i="13" s="1"/>
  <c r="W6" i="13" s="1"/>
  <c r="P6" i="13"/>
  <c r="K6" i="13"/>
  <c r="F6" i="13"/>
  <c r="G6" i="13" s="1"/>
  <c r="H6" i="13" s="1"/>
  <c r="AJ5" i="13"/>
  <c r="AE5" i="13"/>
  <c r="AF5" i="13" s="1"/>
  <c r="AG5" i="13" s="1"/>
  <c r="Z5" i="13"/>
  <c r="AA5" i="13" s="1"/>
  <c r="AB5" i="13" s="1"/>
  <c r="U5" i="13"/>
  <c r="P5" i="13"/>
  <c r="Q5" i="13" s="1"/>
  <c r="K5" i="13"/>
  <c r="L5" i="13" s="1"/>
  <c r="M5" i="13" s="1"/>
  <c r="F5" i="13"/>
  <c r="G5" i="13" s="1"/>
  <c r="H5" i="13" s="1"/>
  <c r="AJ4" i="13"/>
  <c r="AK4" i="13" s="1"/>
  <c r="AL4" i="13" s="1"/>
  <c r="AE4" i="13"/>
  <c r="AF4" i="13" s="1"/>
  <c r="AG4" i="13" s="1"/>
  <c r="Z4" i="13"/>
  <c r="U4" i="13"/>
  <c r="P4" i="13"/>
  <c r="Q4" i="13" s="1"/>
  <c r="R4" i="13" s="1"/>
  <c r="K4" i="13"/>
  <c r="L4" i="13" s="1"/>
  <c r="M4" i="13" s="1"/>
  <c r="F4" i="13"/>
  <c r="AJ3" i="13"/>
  <c r="AK3" i="13" s="1"/>
  <c r="AL3" i="13" s="1"/>
  <c r="AE3" i="13"/>
  <c r="Z3" i="13"/>
  <c r="AA3" i="13" s="1"/>
  <c r="U3" i="13"/>
  <c r="V3" i="13" s="1"/>
  <c r="W3" i="13" s="1"/>
  <c r="P3" i="13"/>
  <c r="Q3" i="13" s="1"/>
  <c r="R3" i="13" s="1"/>
  <c r="K3" i="13"/>
  <c r="F3" i="13"/>
  <c r="F9" i="8"/>
  <c r="G9" i="8" s="1"/>
  <c r="H9" i="8" s="1"/>
  <c r="K9" i="8"/>
  <c r="L9" i="8" s="1"/>
  <c r="M9" i="8" s="1"/>
  <c r="P9" i="8"/>
  <c r="Q9" i="8" s="1"/>
  <c r="U9" i="8"/>
  <c r="V9" i="8" s="1"/>
  <c r="W9" i="8" s="1"/>
  <c r="Z9" i="8"/>
  <c r="AA9" i="8" s="1"/>
  <c r="AB9" i="8" s="1"/>
  <c r="AE9" i="8"/>
  <c r="AF9" i="8" s="1"/>
  <c r="AG9" i="8" s="1"/>
  <c r="AJ9" i="8"/>
  <c r="AK9" i="8" s="1"/>
  <c r="F10" i="8"/>
  <c r="G10" i="8" s="1"/>
  <c r="K10" i="8"/>
  <c r="L10" i="8" s="1"/>
  <c r="P10" i="8"/>
  <c r="Q10" i="8" s="1"/>
  <c r="U10" i="8"/>
  <c r="V10" i="8" s="1"/>
  <c r="Z10" i="8"/>
  <c r="AA10" i="8" s="1"/>
  <c r="AB10" i="8" s="1"/>
  <c r="AE10" i="8"/>
  <c r="AF10" i="8" s="1"/>
  <c r="AJ10" i="8"/>
  <c r="F11" i="8"/>
  <c r="K11" i="8"/>
  <c r="L11" i="8" s="1"/>
  <c r="M11" i="8" s="1"/>
  <c r="P11" i="8"/>
  <c r="Q11" i="8" s="1"/>
  <c r="U11" i="8"/>
  <c r="V11" i="8" s="1"/>
  <c r="Z11" i="8"/>
  <c r="AE11" i="8"/>
  <c r="AF11" i="8" s="1"/>
  <c r="AG11" i="8" s="1"/>
  <c r="AJ11" i="8"/>
  <c r="AK11" i="8" s="1"/>
  <c r="AL11" i="8" s="1"/>
  <c r="F12" i="8"/>
  <c r="G12" i="8" s="1"/>
  <c r="K12" i="8"/>
  <c r="L12" i="8" s="1"/>
  <c r="M12" i="8" s="1"/>
  <c r="P12" i="8"/>
  <c r="Q12" i="8" s="1"/>
  <c r="U12" i="8"/>
  <c r="V12" i="8" s="1"/>
  <c r="Z12" i="8"/>
  <c r="AA12" i="8" s="1"/>
  <c r="AE12" i="8"/>
  <c r="AF12" i="8" s="1"/>
  <c r="AG12" i="8" s="1"/>
  <c r="AJ12" i="8"/>
  <c r="AK12" i="8" s="1"/>
  <c r="F13" i="8"/>
  <c r="G13" i="8" s="1"/>
  <c r="H13" i="8" s="1"/>
  <c r="K13" i="8"/>
  <c r="L13" i="8" s="1"/>
  <c r="P13" i="8"/>
  <c r="Q13" i="8" s="1"/>
  <c r="U13" i="8"/>
  <c r="V13" i="8" s="1"/>
  <c r="Z13" i="8"/>
  <c r="AA13" i="8" s="1"/>
  <c r="AB13" i="8" s="1"/>
  <c r="AE13" i="8"/>
  <c r="AF13" i="8" s="1"/>
  <c r="AG13" i="8" s="1"/>
  <c r="AJ13" i="8"/>
  <c r="AK13" i="8" s="1"/>
  <c r="F14" i="8"/>
  <c r="G14" i="8" s="1"/>
  <c r="K14" i="8"/>
  <c r="L14" i="8" s="1"/>
  <c r="P14" i="8"/>
  <c r="Q14" i="8" s="1"/>
  <c r="R14" i="8" s="1"/>
  <c r="U14" i="8"/>
  <c r="V14" i="8" s="1"/>
  <c r="W14" i="8" s="1"/>
  <c r="Z14" i="8"/>
  <c r="AA14" i="8" s="1"/>
  <c r="AE14" i="8"/>
  <c r="AF14" i="8" s="1"/>
  <c r="AJ14" i="8"/>
  <c r="AK14" i="8" s="1"/>
  <c r="AL14" i="8" s="1"/>
  <c r="F4" i="8"/>
  <c r="G4" i="8" s="1"/>
  <c r="K4" i="8"/>
  <c r="L4" i="8" s="1"/>
  <c r="M4" i="8" s="1"/>
  <c r="P4" i="8"/>
  <c r="Q4" i="8" s="1"/>
  <c r="R4" i="8" s="1"/>
  <c r="U4" i="8"/>
  <c r="V4" i="8" s="1"/>
  <c r="W4" i="8" s="1"/>
  <c r="Z4" i="8"/>
  <c r="AA4" i="8" s="1"/>
  <c r="AB4" i="8" s="1"/>
  <c r="AE4" i="8"/>
  <c r="AF4" i="8" s="1"/>
  <c r="AG4" i="8" s="1"/>
  <c r="AJ4" i="8"/>
  <c r="AK4" i="8" s="1"/>
  <c r="AL4" i="8" s="1"/>
  <c r="F5" i="8"/>
  <c r="G5" i="8" s="1"/>
  <c r="H5" i="8" s="1"/>
  <c r="K5" i="8"/>
  <c r="L5" i="8" s="1"/>
  <c r="M5" i="8" s="1"/>
  <c r="P5" i="8"/>
  <c r="Q5" i="8" s="1"/>
  <c r="R5" i="8" s="1"/>
  <c r="U5" i="8"/>
  <c r="V5" i="8" s="1"/>
  <c r="W5" i="8" s="1"/>
  <c r="Z5" i="8"/>
  <c r="AE5" i="8"/>
  <c r="AF5" i="8" s="1"/>
  <c r="AG5" i="8" s="1"/>
  <c r="AJ5" i="8"/>
  <c r="AK5" i="8" s="1"/>
  <c r="AL5" i="8" s="1"/>
  <c r="F6" i="8"/>
  <c r="G6" i="8" s="1"/>
  <c r="H6" i="8" s="1"/>
  <c r="K6" i="8"/>
  <c r="L6" i="8" s="1"/>
  <c r="M6" i="8" s="1"/>
  <c r="P6" i="8"/>
  <c r="Q6" i="8" s="1"/>
  <c r="R6" i="8" s="1"/>
  <c r="U6" i="8"/>
  <c r="V6" i="8" s="1"/>
  <c r="W6" i="8" s="1"/>
  <c r="Z6" i="8"/>
  <c r="AA6" i="8" s="1"/>
  <c r="AB6" i="8" s="1"/>
  <c r="AE6" i="8"/>
  <c r="AF6" i="8" s="1"/>
  <c r="AG6" i="8" s="1"/>
  <c r="AJ6" i="8"/>
  <c r="AK6" i="8" s="1"/>
  <c r="AL6" i="8" s="1"/>
  <c r="F7" i="8"/>
  <c r="G7" i="8" s="1"/>
  <c r="H7" i="8" s="1"/>
  <c r="K7" i="8"/>
  <c r="L7" i="8" s="1"/>
  <c r="M7" i="8" s="1"/>
  <c r="P7" i="8"/>
  <c r="Q7" i="8" s="1"/>
  <c r="R7" i="8" s="1"/>
  <c r="U7" i="8"/>
  <c r="V7" i="8" s="1"/>
  <c r="W7" i="8" s="1"/>
  <c r="Z7" i="8"/>
  <c r="AA7" i="8" s="1"/>
  <c r="AB7" i="8" s="1"/>
  <c r="AE7" i="8"/>
  <c r="AF7" i="8" s="1"/>
  <c r="AG7" i="8" s="1"/>
  <c r="AJ7" i="8"/>
  <c r="AK7" i="8" s="1"/>
  <c r="AL7" i="8" s="1"/>
  <c r="F8" i="8"/>
  <c r="G8" i="8" s="1"/>
  <c r="H8" i="8" s="1"/>
  <c r="K8" i="8"/>
  <c r="L8" i="8" s="1"/>
  <c r="M8" i="8" s="1"/>
  <c r="P8" i="8"/>
  <c r="Q8" i="8" s="1"/>
  <c r="R8" i="8" s="1"/>
  <c r="U8" i="8"/>
  <c r="V8" i="8" s="1"/>
  <c r="W8" i="8" s="1"/>
  <c r="Z8" i="8"/>
  <c r="AA8" i="8" s="1"/>
  <c r="AB8" i="8" s="1"/>
  <c r="AE8" i="8"/>
  <c r="AF8" i="8" s="1"/>
  <c r="AG8" i="8" s="1"/>
  <c r="AJ8" i="8"/>
  <c r="AK8" i="8" s="1"/>
  <c r="AL8" i="8" s="1"/>
  <c r="K3" i="8"/>
  <c r="L3" i="8" s="1"/>
  <c r="M3" i="8" s="1"/>
  <c r="AJ3" i="8"/>
  <c r="AK3" i="8" s="1"/>
  <c r="AL3" i="8" s="1"/>
  <c r="AE3" i="8"/>
  <c r="AF3" i="8" s="1"/>
  <c r="AG3" i="8" s="1"/>
  <c r="Z3" i="8"/>
  <c r="AA3" i="8" s="1"/>
  <c r="AB3" i="8" s="1"/>
  <c r="U3" i="8"/>
  <c r="V3" i="8" s="1"/>
  <c r="W3" i="8" s="1"/>
  <c r="P3" i="8"/>
  <c r="Q3" i="8" s="1"/>
  <c r="R3" i="8" s="1"/>
  <c r="F3" i="8"/>
  <c r="G3" i="8" s="1"/>
  <c r="H3" i="8" s="1"/>
  <c r="AK14" i="21" l="1"/>
  <c r="AL14" i="21"/>
  <c r="AF14" i="21"/>
  <c r="AG14" i="21"/>
  <c r="AA14" i="21"/>
  <c r="AB14" i="21"/>
  <c r="V14" i="21"/>
  <c r="W14" i="21" s="1"/>
  <c r="Q14" i="21"/>
  <c r="R14" i="21" s="1"/>
  <c r="L14" i="21"/>
  <c r="M14" i="21"/>
  <c r="G14" i="21"/>
  <c r="H14" i="21" s="1"/>
  <c r="AM14" i="21" s="1"/>
  <c r="AN14" i="21" s="1"/>
  <c r="AK13" i="21"/>
  <c r="AL13" i="21"/>
  <c r="AA13" i="21"/>
  <c r="AB13" i="21" s="1"/>
  <c r="V13" i="21"/>
  <c r="W13" i="21" s="1"/>
  <c r="Q13" i="21"/>
  <c r="R13" i="21"/>
  <c r="L13" i="21"/>
  <c r="M13" i="21"/>
  <c r="G13" i="21"/>
  <c r="H13" i="21" s="1"/>
  <c r="AK12" i="21"/>
  <c r="AL12" i="21"/>
  <c r="AF12" i="21"/>
  <c r="AG12" i="21" s="1"/>
  <c r="AA12" i="21"/>
  <c r="AB12" i="21" s="1"/>
  <c r="V12" i="21"/>
  <c r="W12" i="21" s="1"/>
  <c r="Q12" i="21"/>
  <c r="R12" i="21" s="1"/>
  <c r="L12" i="21"/>
  <c r="M12" i="21" s="1"/>
  <c r="G12" i="21"/>
  <c r="H12" i="21" s="1"/>
  <c r="AK11" i="21"/>
  <c r="AL11" i="21" s="1"/>
  <c r="AF11" i="21"/>
  <c r="AG11" i="21" s="1"/>
  <c r="AA11" i="21"/>
  <c r="AB11" i="21" s="1"/>
  <c r="V11" i="21"/>
  <c r="W11" i="21" s="1"/>
  <c r="Q11" i="21"/>
  <c r="R11" i="21" s="1"/>
  <c r="L11" i="21"/>
  <c r="M11" i="21" s="1"/>
  <c r="G11" i="21"/>
  <c r="H11" i="21" s="1"/>
  <c r="AM11" i="21" s="1"/>
  <c r="AN11" i="21" s="1"/>
  <c r="AK10" i="21"/>
  <c r="AL10" i="21" s="1"/>
  <c r="AF10" i="21"/>
  <c r="AG10" i="21" s="1"/>
  <c r="AA10" i="21"/>
  <c r="AB10" i="21" s="1"/>
  <c r="V10" i="21"/>
  <c r="W10" i="21" s="1"/>
  <c r="Q10" i="21"/>
  <c r="R10" i="21" s="1"/>
  <c r="G10" i="21"/>
  <c r="H10" i="21" s="1"/>
  <c r="AM10" i="21" s="1"/>
  <c r="AN10" i="21" s="1"/>
  <c r="AK9" i="21"/>
  <c r="AL9" i="21" s="1"/>
  <c r="AF9" i="21"/>
  <c r="AG9" i="21" s="1"/>
  <c r="AA9" i="21"/>
  <c r="AB9" i="21" s="1"/>
  <c r="V9" i="21"/>
  <c r="W9" i="21" s="1"/>
  <c r="Q9" i="21"/>
  <c r="R9" i="21" s="1"/>
  <c r="L9" i="21"/>
  <c r="M9" i="21" s="1"/>
  <c r="G9" i="21"/>
  <c r="H9" i="21" s="1"/>
  <c r="AM9" i="21" s="1"/>
  <c r="AN9" i="21" s="1"/>
  <c r="AK8" i="21"/>
  <c r="AL8" i="21" s="1"/>
  <c r="AF8" i="21"/>
  <c r="AG8" i="21" s="1"/>
  <c r="AA8" i="21"/>
  <c r="AB8" i="21" s="1"/>
  <c r="V8" i="21"/>
  <c r="W8" i="21" s="1"/>
  <c r="Q8" i="21"/>
  <c r="R8" i="21" s="1"/>
  <c r="L8" i="21"/>
  <c r="M8" i="21" s="1"/>
  <c r="G8" i="21"/>
  <c r="H8" i="21" s="1"/>
  <c r="AF7" i="21"/>
  <c r="AG7" i="21" s="1"/>
  <c r="AA7" i="21"/>
  <c r="AB7" i="21" s="1"/>
  <c r="V7" i="21"/>
  <c r="W7" i="21" s="1"/>
  <c r="Q7" i="21"/>
  <c r="R7" i="21" s="1"/>
  <c r="L7" i="21"/>
  <c r="M7" i="21" s="1"/>
  <c r="G7" i="21"/>
  <c r="H7" i="21" s="1"/>
  <c r="AK6" i="21"/>
  <c r="AL6" i="21" s="1"/>
  <c r="AF6" i="21"/>
  <c r="AG6" i="21" s="1"/>
  <c r="AA6" i="21"/>
  <c r="AB6" i="21" s="1"/>
  <c r="V6" i="21"/>
  <c r="W6" i="21" s="1"/>
  <c r="Q6" i="21"/>
  <c r="R6" i="21" s="1"/>
  <c r="L6" i="21"/>
  <c r="M6" i="21" s="1"/>
  <c r="G6" i="21"/>
  <c r="H6" i="21" s="1"/>
  <c r="AK5" i="21"/>
  <c r="AL5" i="21" s="1"/>
  <c r="AF5" i="21"/>
  <c r="AG5" i="21" s="1"/>
  <c r="AA5" i="21"/>
  <c r="AB5" i="21" s="1"/>
  <c r="V5" i="21"/>
  <c r="W5" i="21" s="1"/>
  <c r="Q5" i="21"/>
  <c r="R5" i="21" s="1"/>
  <c r="L5" i="21"/>
  <c r="M5" i="21" s="1"/>
  <c r="G5" i="21"/>
  <c r="H5" i="21" s="1"/>
  <c r="AK4" i="21"/>
  <c r="AL4" i="21" s="1"/>
  <c r="AF4" i="21"/>
  <c r="AG4" i="21" s="1"/>
  <c r="AA4" i="21"/>
  <c r="AB4" i="21" s="1"/>
  <c r="V4" i="21"/>
  <c r="W4" i="21" s="1"/>
  <c r="Q4" i="21"/>
  <c r="R4" i="21" s="1"/>
  <c r="L4" i="21"/>
  <c r="M4" i="21" s="1"/>
  <c r="G4" i="21"/>
  <c r="H4" i="21" s="1"/>
  <c r="AK3" i="21"/>
  <c r="AL3" i="21" s="1"/>
  <c r="AF3" i="21"/>
  <c r="AG3" i="21" s="1"/>
  <c r="AA3" i="21"/>
  <c r="AB3" i="21" s="1"/>
  <c r="V3" i="21"/>
  <c r="W3" i="21" s="1"/>
  <c r="Q3" i="21"/>
  <c r="R3" i="21" s="1"/>
  <c r="L3" i="21"/>
  <c r="M3" i="21" s="1"/>
  <c r="G3" i="21"/>
  <c r="H3" i="21" s="1"/>
  <c r="AG5" i="20"/>
  <c r="AK14" i="20"/>
  <c r="AL14" i="20" s="1"/>
  <c r="AF14" i="20"/>
  <c r="AG14" i="20"/>
  <c r="AA14" i="20"/>
  <c r="AB14" i="20" s="1"/>
  <c r="V14" i="20"/>
  <c r="W14" i="20" s="1"/>
  <c r="Q14" i="20"/>
  <c r="R14" i="20" s="1"/>
  <c r="AM14" i="20" s="1"/>
  <c r="AN14" i="20" s="1"/>
  <c r="L14" i="20"/>
  <c r="M14" i="20"/>
  <c r="G14" i="20"/>
  <c r="H14" i="20"/>
  <c r="AK13" i="20"/>
  <c r="AL13" i="20"/>
  <c r="AF13" i="20"/>
  <c r="AG13" i="20" s="1"/>
  <c r="AA13" i="20"/>
  <c r="AB13" i="20" s="1"/>
  <c r="V13" i="20"/>
  <c r="W13" i="20" s="1"/>
  <c r="Q13" i="20"/>
  <c r="R13" i="20" s="1"/>
  <c r="L13" i="20"/>
  <c r="M13" i="20" s="1"/>
  <c r="G13" i="20"/>
  <c r="H13" i="20" s="1"/>
  <c r="AM13" i="20" s="1"/>
  <c r="AN13" i="20" s="1"/>
  <c r="AK12" i="20"/>
  <c r="AL12" i="20" s="1"/>
  <c r="AF12" i="20"/>
  <c r="AG12" i="20" s="1"/>
  <c r="AA12" i="20"/>
  <c r="AB12" i="20" s="1"/>
  <c r="V12" i="20"/>
  <c r="W12" i="20" s="1"/>
  <c r="Q12" i="20"/>
  <c r="R12" i="20" s="1"/>
  <c r="L12" i="20"/>
  <c r="M12" i="20" s="1"/>
  <c r="G12" i="20"/>
  <c r="H12" i="20" s="1"/>
  <c r="AM12" i="20" s="1"/>
  <c r="AN12" i="20" s="1"/>
  <c r="AK11" i="20"/>
  <c r="AL11" i="20" s="1"/>
  <c r="AF11" i="20"/>
  <c r="AG11" i="20" s="1"/>
  <c r="AA11" i="20"/>
  <c r="AB11" i="20" s="1"/>
  <c r="V11" i="20"/>
  <c r="W11" i="20" s="1"/>
  <c r="Q11" i="20"/>
  <c r="R11" i="20" s="1"/>
  <c r="L11" i="20"/>
  <c r="M11" i="20" s="1"/>
  <c r="G11" i="20"/>
  <c r="H11" i="20" s="1"/>
  <c r="AM11" i="20" s="1"/>
  <c r="AN11" i="20" s="1"/>
  <c r="AK10" i="20"/>
  <c r="AL10" i="20" s="1"/>
  <c r="AF10" i="20"/>
  <c r="AG10" i="20" s="1"/>
  <c r="AA10" i="20"/>
  <c r="AB10" i="20" s="1"/>
  <c r="V10" i="20"/>
  <c r="W10" i="20" s="1"/>
  <c r="Q10" i="20"/>
  <c r="R10" i="20" s="1"/>
  <c r="L10" i="20"/>
  <c r="M10" i="20" s="1"/>
  <c r="G10" i="20"/>
  <c r="H10" i="20" s="1"/>
  <c r="AM10" i="20" s="1"/>
  <c r="AN10" i="20" s="1"/>
  <c r="AK9" i="20"/>
  <c r="AL9" i="20" s="1"/>
  <c r="AF9" i="20"/>
  <c r="AG9" i="20" s="1"/>
  <c r="AA9" i="20"/>
  <c r="AB9" i="20" s="1"/>
  <c r="V9" i="20"/>
  <c r="W9" i="20" s="1"/>
  <c r="Q9" i="20"/>
  <c r="R9" i="20" s="1"/>
  <c r="L9" i="20"/>
  <c r="M9" i="20" s="1"/>
  <c r="G9" i="20"/>
  <c r="H9" i="20" s="1"/>
  <c r="AK8" i="20"/>
  <c r="AL8" i="20" s="1"/>
  <c r="AF8" i="20"/>
  <c r="AG8" i="20" s="1"/>
  <c r="AA8" i="20"/>
  <c r="AB8" i="20" s="1"/>
  <c r="V8" i="20"/>
  <c r="W8" i="20" s="1"/>
  <c r="Q8" i="20"/>
  <c r="R8" i="20" s="1"/>
  <c r="L8" i="20"/>
  <c r="M8" i="20" s="1"/>
  <c r="G8" i="20"/>
  <c r="H8" i="20" s="1"/>
  <c r="AK7" i="20"/>
  <c r="AL7" i="20" s="1"/>
  <c r="AF7" i="20"/>
  <c r="AG7" i="20" s="1"/>
  <c r="AA7" i="20"/>
  <c r="AB7" i="20" s="1"/>
  <c r="V7" i="20"/>
  <c r="W7" i="20" s="1"/>
  <c r="Q7" i="20"/>
  <c r="R7" i="20" s="1"/>
  <c r="L7" i="20"/>
  <c r="M7" i="20" s="1"/>
  <c r="G7" i="20"/>
  <c r="H7" i="20" s="1"/>
  <c r="AK6" i="20"/>
  <c r="AL6" i="20" s="1"/>
  <c r="AF6" i="20"/>
  <c r="AG6" i="20" s="1"/>
  <c r="AA6" i="20"/>
  <c r="AB6" i="20" s="1"/>
  <c r="V6" i="20"/>
  <c r="W6" i="20" s="1"/>
  <c r="Q6" i="20"/>
  <c r="R6" i="20" s="1"/>
  <c r="L6" i="20"/>
  <c r="M6" i="20" s="1"/>
  <c r="G6" i="20"/>
  <c r="H6" i="20" s="1"/>
  <c r="AK5" i="20"/>
  <c r="AL5" i="20" s="1"/>
  <c r="AA5" i="20"/>
  <c r="AB5" i="20" s="1"/>
  <c r="V5" i="20"/>
  <c r="W5" i="20" s="1"/>
  <c r="Q5" i="20"/>
  <c r="R5" i="20" s="1"/>
  <c r="L5" i="20"/>
  <c r="M5" i="20" s="1"/>
  <c r="G5" i="20"/>
  <c r="H5" i="20" s="1"/>
  <c r="AK4" i="20"/>
  <c r="AL4" i="20" s="1"/>
  <c r="AF4" i="20"/>
  <c r="AG4" i="20" s="1"/>
  <c r="AA4" i="20"/>
  <c r="AB4" i="20" s="1"/>
  <c r="V4" i="20"/>
  <c r="W4" i="20" s="1"/>
  <c r="Q4" i="20"/>
  <c r="R4" i="20" s="1"/>
  <c r="L4" i="20"/>
  <c r="M4" i="20" s="1"/>
  <c r="G4" i="20"/>
  <c r="H4" i="20" s="1"/>
  <c r="AK3" i="20"/>
  <c r="AL3" i="20" s="1"/>
  <c r="AF3" i="20"/>
  <c r="AG3" i="20" s="1"/>
  <c r="AA3" i="20"/>
  <c r="AB3" i="20" s="1"/>
  <c r="V3" i="20"/>
  <c r="W3" i="20" s="1"/>
  <c r="Q3" i="20"/>
  <c r="R3" i="20" s="1"/>
  <c r="L3" i="20"/>
  <c r="M3" i="20" s="1"/>
  <c r="G3" i="20"/>
  <c r="H3" i="20" s="1"/>
  <c r="AK14" i="18"/>
  <c r="AL14" i="18" s="1"/>
  <c r="AF14" i="18"/>
  <c r="AG14" i="18" s="1"/>
  <c r="AA14" i="18"/>
  <c r="AB14" i="18" s="1"/>
  <c r="V14" i="18"/>
  <c r="W14" i="18" s="1"/>
  <c r="Q14" i="18"/>
  <c r="R14" i="18" s="1"/>
  <c r="L14" i="18"/>
  <c r="M14" i="18" s="1"/>
  <c r="G14" i="18"/>
  <c r="H14" i="18" s="1"/>
  <c r="AM14" i="18" s="1"/>
  <c r="AN14" i="18" s="1"/>
  <c r="AK13" i="18"/>
  <c r="AL13" i="18" s="1"/>
  <c r="AF13" i="18"/>
  <c r="AG13" i="18" s="1"/>
  <c r="AA13" i="18"/>
  <c r="AB13" i="18" s="1"/>
  <c r="V13" i="18"/>
  <c r="W13" i="18"/>
  <c r="Q13" i="18"/>
  <c r="R13" i="18"/>
  <c r="L13" i="18"/>
  <c r="M13" i="18" s="1"/>
  <c r="AM13" i="18" s="1"/>
  <c r="AN13" i="18" s="1"/>
  <c r="G13" i="18"/>
  <c r="H13" i="18"/>
  <c r="AK12" i="18"/>
  <c r="AL12" i="18"/>
  <c r="AF12" i="18"/>
  <c r="AG12" i="18"/>
  <c r="AA12" i="18"/>
  <c r="AB12" i="18" s="1"/>
  <c r="V12" i="18"/>
  <c r="W12" i="18" s="1"/>
  <c r="Q12" i="18"/>
  <c r="R12" i="18"/>
  <c r="L12" i="18"/>
  <c r="M12" i="18" s="1"/>
  <c r="G12" i="18"/>
  <c r="H12" i="18" s="1"/>
  <c r="AM12" i="18" s="1"/>
  <c r="AN12" i="18" s="1"/>
  <c r="AK11" i="18"/>
  <c r="AL11" i="18" s="1"/>
  <c r="AF11" i="18"/>
  <c r="AG11" i="18" s="1"/>
  <c r="AA11" i="18"/>
  <c r="AB11" i="18" s="1"/>
  <c r="V11" i="18"/>
  <c r="W11" i="18" s="1"/>
  <c r="Q11" i="18"/>
  <c r="R11" i="18" s="1"/>
  <c r="G11" i="18"/>
  <c r="H11" i="18" s="1"/>
  <c r="AK10" i="18"/>
  <c r="AL10" i="18" s="1"/>
  <c r="AF10" i="18"/>
  <c r="AG10" i="18" s="1"/>
  <c r="AA10" i="18"/>
  <c r="AB10" i="18" s="1"/>
  <c r="V10" i="18"/>
  <c r="W10" i="18" s="1"/>
  <c r="Q10" i="18"/>
  <c r="R10" i="18" s="1"/>
  <c r="L10" i="18"/>
  <c r="M10" i="18" s="1"/>
  <c r="G10" i="18"/>
  <c r="H10" i="18" s="1"/>
  <c r="AK9" i="18"/>
  <c r="AL9" i="18" s="1"/>
  <c r="AF9" i="18"/>
  <c r="AG9" i="18" s="1"/>
  <c r="AA9" i="18"/>
  <c r="AB9" i="18" s="1"/>
  <c r="V9" i="18"/>
  <c r="W9" i="18" s="1"/>
  <c r="Q9" i="18"/>
  <c r="R9" i="18" s="1"/>
  <c r="L9" i="18"/>
  <c r="M9" i="18" s="1"/>
  <c r="G9" i="18"/>
  <c r="H9" i="18" s="1"/>
  <c r="AK8" i="18"/>
  <c r="AL8" i="18" s="1"/>
  <c r="AF8" i="18"/>
  <c r="AG8" i="18" s="1"/>
  <c r="AA8" i="18"/>
  <c r="AB8" i="18" s="1"/>
  <c r="V8" i="18"/>
  <c r="W8" i="18" s="1"/>
  <c r="Q8" i="18"/>
  <c r="R8" i="18" s="1"/>
  <c r="L8" i="18"/>
  <c r="M8" i="18" s="1"/>
  <c r="G8" i="18"/>
  <c r="H8" i="18" s="1"/>
  <c r="AK7" i="18"/>
  <c r="AL7" i="18" s="1"/>
  <c r="AF7" i="18"/>
  <c r="AG7" i="18" s="1"/>
  <c r="AA7" i="18"/>
  <c r="AB7" i="18" s="1"/>
  <c r="V7" i="18"/>
  <c r="W7" i="18" s="1"/>
  <c r="Q7" i="18"/>
  <c r="R7" i="18" s="1"/>
  <c r="L7" i="18"/>
  <c r="M7" i="18" s="1"/>
  <c r="G7" i="18"/>
  <c r="H7" i="18" s="1"/>
  <c r="AK6" i="18"/>
  <c r="AL6" i="18" s="1"/>
  <c r="AF6" i="18"/>
  <c r="AG6" i="18" s="1"/>
  <c r="AA6" i="18"/>
  <c r="AB6" i="18" s="1"/>
  <c r="V6" i="18"/>
  <c r="W6" i="18" s="1"/>
  <c r="Q6" i="18"/>
  <c r="R6" i="18" s="1"/>
  <c r="L6" i="18"/>
  <c r="M6" i="18" s="1"/>
  <c r="G6" i="18"/>
  <c r="H6" i="18" s="1"/>
  <c r="AK5" i="18"/>
  <c r="AL5" i="18" s="1"/>
  <c r="AF5" i="18"/>
  <c r="AG5" i="18" s="1"/>
  <c r="AA5" i="18"/>
  <c r="AB5" i="18" s="1"/>
  <c r="V5" i="18"/>
  <c r="W5" i="18" s="1"/>
  <c r="Q5" i="18"/>
  <c r="R5" i="18" s="1"/>
  <c r="L5" i="18"/>
  <c r="M5" i="18" s="1"/>
  <c r="G5" i="18"/>
  <c r="H5" i="18" s="1"/>
  <c r="AK4" i="18"/>
  <c r="AL4" i="18" s="1"/>
  <c r="AF4" i="18"/>
  <c r="AG4" i="18" s="1"/>
  <c r="AA4" i="18"/>
  <c r="AB4" i="18" s="1"/>
  <c r="V4" i="18"/>
  <c r="W4" i="18" s="1"/>
  <c r="Q4" i="18"/>
  <c r="R4" i="18" s="1"/>
  <c r="L4" i="18"/>
  <c r="M4" i="18" s="1"/>
  <c r="G4" i="18"/>
  <c r="H4" i="18" s="1"/>
  <c r="AK3" i="18"/>
  <c r="AL3" i="18" s="1"/>
  <c r="AF3" i="18"/>
  <c r="AG3" i="18" s="1"/>
  <c r="AA3" i="18"/>
  <c r="AB3" i="18" s="1"/>
  <c r="V3" i="18"/>
  <c r="W3" i="18" s="1"/>
  <c r="Q3" i="18"/>
  <c r="R3" i="18" s="1"/>
  <c r="L3" i="18"/>
  <c r="M3" i="18" s="1"/>
  <c r="G3" i="18"/>
  <c r="H3" i="18" s="1"/>
  <c r="AB11" i="17"/>
  <c r="AK14" i="17"/>
  <c r="AL14" i="17" s="1"/>
  <c r="AF14" i="17"/>
  <c r="AG14" i="17" s="1"/>
  <c r="AA14" i="17"/>
  <c r="AB14" i="17" s="1"/>
  <c r="V14" i="17"/>
  <c r="W14" i="17" s="1"/>
  <c r="Q14" i="17"/>
  <c r="R14" i="17" s="1"/>
  <c r="L14" i="17"/>
  <c r="M14" i="17" s="1"/>
  <c r="G14" i="17"/>
  <c r="H14" i="17" s="1"/>
  <c r="AM14" i="17" s="1"/>
  <c r="AN14" i="17" s="1"/>
  <c r="AK13" i="17"/>
  <c r="AL13" i="17" s="1"/>
  <c r="AF13" i="17"/>
  <c r="AG13" i="17" s="1"/>
  <c r="AA13" i="17"/>
  <c r="AB13" i="17" s="1"/>
  <c r="V13" i="17"/>
  <c r="W13" i="17" s="1"/>
  <c r="Q13" i="17"/>
  <c r="R13" i="17" s="1"/>
  <c r="L13" i="17"/>
  <c r="M13" i="17" s="1"/>
  <c r="G13" i="17"/>
  <c r="H13" i="17" s="1"/>
  <c r="AM13" i="17" s="1"/>
  <c r="AN13" i="17" s="1"/>
  <c r="AK12" i="17"/>
  <c r="AL12" i="17" s="1"/>
  <c r="AF12" i="17"/>
  <c r="AG12" i="17" s="1"/>
  <c r="AA12" i="17"/>
  <c r="AB12" i="17" s="1"/>
  <c r="V12" i="17"/>
  <c r="W12" i="17" s="1"/>
  <c r="Q12" i="17"/>
  <c r="R12" i="17" s="1"/>
  <c r="G12" i="17"/>
  <c r="H12" i="17" s="1"/>
  <c r="AK11" i="17"/>
  <c r="AL11" i="17" s="1"/>
  <c r="AF11" i="17"/>
  <c r="AG11" i="17" s="1"/>
  <c r="V11" i="17"/>
  <c r="W11" i="17" s="1"/>
  <c r="Q11" i="17"/>
  <c r="R11" i="17" s="1"/>
  <c r="L11" i="17"/>
  <c r="M11" i="17" s="1"/>
  <c r="G11" i="17"/>
  <c r="H11" i="17" s="1"/>
  <c r="AK10" i="17"/>
  <c r="AL10" i="17" s="1"/>
  <c r="AF10" i="17"/>
  <c r="AG10" i="17" s="1"/>
  <c r="AA10" i="17"/>
  <c r="AB10" i="17" s="1"/>
  <c r="V10" i="17"/>
  <c r="W10" i="17" s="1"/>
  <c r="Q10" i="17"/>
  <c r="R10" i="17" s="1"/>
  <c r="L10" i="17"/>
  <c r="M10" i="17" s="1"/>
  <c r="G10" i="17"/>
  <c r="H10" i="17" s="1"/>
  <c r="AK9" i="17"/>
  <c r="AL9" i="17" s="1"/>
  <c r="AF9" i="17"/>
  <c r="AG9" i="17" s="1"/>
  <c r="AA9" i="17"/>
  <c r="AB9" i="17" s="1"/>
  <c r="Q9" i="17"/>
  <c r="R9" i="17" s="1"/>
  <c r="L9" i="17"/>
  <c r="M9" i="17" s="1"/>
  <c r="G9" i="17"/>
  <c r="H9" i="17" s="1"/>
  <c r="AK8" i="17"/>
  <c r="AL8" i="17" s="1"/>
  <c r="AF8" i="17"/>
  <c r="AG8" i="17" s="1"/>
  <c r="AA8" i="17"/>
  <c r="AB8" i="17" s="1"/>
  <c r="V8" i="17"/>
  <c r="W8" i="17" s="1"/>
  <c r="Q8" i="17"/>
  <c r="R8" i="17" s="1"/>
  <c r="L8" i="17"/>
  <c r="M8" i="17" s="1"/>
  <c r="G8" i="17"/>
  <c r="H8" i="17" s="1"/>
  <c r="AK7" i="17"/>
  <c r="AL7" i="17" s="1"/>
  <c r="AF7" i="17"/>
  <c r="AG7" i="17" s="1"/>
  <c r="AA7" i="17"/>
  <c r="AB7" i="17" s="1"/>
  <c r="V7" i="17"/>
  <c r="W7" i="17" s="1"/>
  <c r="Q7" i="17"/>
  <c r="R7" i="17" s="1"/>
  <c r="L7" i="17"/>
  <c r="M7" i="17" s="1"/>
  <c r="G7" i="17"/>
  <c r="H7" i="17" s="1"/>
  <c r="AK6" i="17"/>
  <c r="AL6" i="17" s="1"/>
  <c r="AF6" i="17"/>
  <c r="AG6" i="17" s="1"/>
  <c r="AA6" i="17"/>
  <c r="AB6" i="17" s="1"/>
  <c r="V6" i="17"/>
  <c r="W6" i="17" s="1"/>
  <c r="Q6" i="17"/>
  <c r="R6" i="17" s="1"/>
  <c r="L6" i="17"/>
  <c r="M6" i="17" s="1"/>
  <c r="G6" i="17"/>
  <c r="H6" i="17" s="1"/>
  <c r="AK5" i="17"/>
  <c r="AL5" i="17" s="1"/>
  <c r="AF5" i="17"/>
  <c r="AG5" i="17" s="1"/>
  <c r="AA5" i="17"/>
  <c r="AB5" i="17" s="1"/>
  <c r="V5" i="17"/>
  <c r="W5" i="17" s="1"/>
  <c r="Q5" i="17"/>
  <c r="R5" i="17" s="1"/>
  <c r="L5" i="17"/>
  <c r="M5" i="17" s="1"/>
  <c r="G5" i="17"/>
  <c r="H5" i="17" s="1"/>
  <c r="AK4" i="17"/>
  <c r="AL4" i="17" s="1"/>
  <c r="AF4" i="17"/>
  <c r="AG4" i="17" s="1"/>
  <c r="AA4" i="17"/>
  <c r="AB4" i="17" s="1"/>
  <c r="V4" i="17"/>
  <c r="W4" i="17" s="1"/>
  <c r="Q4" i="17"/>
  <c r="R4" i="17" s="1"/>
  <c r="L4" i="17"/>
  <c r="M4" i="17" s="1"/>
  <c r="G4" i="17"/>
  <c r="H4" i="17" s="1"/>
  <c r="AK3" i="17"/>
  <c r="AL3" i="17" s="1"/>
  <c r="AF3" i="17"/>
  <c r="AG3" i="17" s="1"/>
  <c r="AA3" i="17"/>
  <c r="AB3" i="17" s="1"/>
  <c r="V3" i="17"/>
  <c r="W3" i="17" s="1"/>
  <c r="Q3" i="17"/>
  <c r="R3" i="17" s="1"/>
  <c r="L3" i="17"/>
  <c r="M3" i="17" s="1"/>
  <c r="G3" i="17"/>
  <c r="H3" i="17" s="1"/>
  <c r="AG14" i="16"/>
  <c r="AB7" i="16"/>
  <c r="R9" i="16"/>
  <c r="W9" i="16"/>
  <c r="R13" i="16"/>
  <c r="G8" i="16"/>
  <c r="H8" i="16" s="1"/>
  <c r="V9" i="16"/>
  <c r="AA12" i="16"/>
  <c r="AB12" i="16" s="1"/>
  <c r="M3" i="16"/>
  <c r="AA3" i="16"/>
  <c r="AB3" i="16" s="1"/>
  <c r="AB4" i="16"/>
  <c r="Q5" i="16"/>
  <c r="R5" i="16" s="1"/>
  <c r="R6" i="16"/>
  <c r="AF6" i="16"/>
  <c r="AG6" i="16" s="1"/>
  <c r="G7" i="16"/>
  <c r="H7" i="16" s="1"/>
  <c r="AG7" i="16"/>
  <c r="V8" i="16"/>
  <c r="W8" i="16" s="1"/>
  <c r="AK9" i="16"/>
  <c r="AL9" i="16" s="1"/>
  <c r="AM9" i="16" s="1"/>
  <c r="AN9" i="16" s="1"/>
  <c r="L10" i="16"/>
  <c r="M10" i="16" s="1"/>
  <c r="AL10" i="16"/>
  <c r="M11" i="16"/>
  <c r="AA11" i="16"/>
  <c r="AB11" i="16" s="1"/>
  <c r="Q13" i="16"/>
  <c r="AF14" i="16"/>
  <c r="AF13" i="16"/>
  <c r="AG13" i="16" s="1"/>
  <c r="G14" i="16"/>
  <c r="H14" i="16" s="1"/>
  <c r="AM14" i="16" s="1"/>
  <c r="AN14" i="16" s="1"/>
  <c r="AF3" i="16"/>
  <c r="AG3" i="16" s="1"/>
  <c r="V5" i="16"/>
  <c r="W5" i="16" s="1"/>
  <c r="L7" i="16"/>
  <c r="M7" i="16" s="1"/>
  <c r="AA8" i="16"/>
  <c r="AB8" i="16" s="1"/>
  <c r="Q10" i="16"/>
  <c r="R10" i="16" s="1"/>
  <c r="AF11" i="16"/>
  <c r="AG11" i="16" s="1"/>
  <c r="G12" i="16"/>
  <c r="H12" i="16" s="1"/>
  <c r="AM12" i="16" s="1"/>
  <c r="AN12" i="16" s="1"/>
  <c r="G4" i="16"/>
  <c r="H4" i="16" s="1"/>
  <c r="AK6" i="16"/>
  <c r="AL6" i="16" s="1"/>
  <c r="G3" i="16"/>
  <c r="H3" i="16" s="1"/>
  <c r="V4" i="16"/>
  <c r="W4" i="16" s="1"/>
  <c r="AK5" i="16"/>
  <c r="AL5" i="16" s="1"/>
  <c r="L6" i="16"/>
  <c r="M6" i="16" s="1"/>
  <c r="AA7" i="16"/>
  <c r="Q9" i="16"/>
  <c r="AF10" i="16"/>
  <c r="AG10" i="16" s="1"/>
  <c r="G11" i="16"/>
  <c r="H11" i="16" s="1"/>
  <c r="AM11" i="16" s="1"/>
  <c r="AN11" i="16" s="1"/>
  <c r="V12" i="16"/>
  <c r="W12" i="16" s="1"/>
  <c r="AK13" i="16"/>
  <c r="AL13" i="16" s="1"/>
  <c r="L14" i="16"/>
  <c r="M14" i="16" s="1"/>
  <c r="AK5" i="15"/>
  <c r="AL5" i="15" s="1"/>
  <c r="AG10" i="15"/>
  <c r="AB7" i="15"/>
  <c r="W4" i="15"/>
  <c r="Q9" i="15"/>
  <c r="R9" i="15" s="1"/>
  <c r="M6" i="15"/>
  <c r="G3" i="15"/>
  <c r="H3" i="15" s="1"/>
  <c r="H12" i="15"/>
  <c r="AM12" i="15" s="1"/>
  <c r="AN12" i="15" s="1"/>
  <c r="AG3" i="15"/>
  <c r="W5" i="15"/>
  <c r="M5" i="15"/>
  <c r="AB6" i="15"/>
  <c r="W3" i="15"/>
  <c r="AG9" i="15"/>
  <c r="H10" i="15"/>
  <c r="W11" i="15"/>
  <c r="M13" i="15"/>
  <c r="L3" i="15"/>
  <c r="M3" i="15" s="1"/>
  <c r="G8" i="15"/>
  <c r="H8" i="15" s="1"/>
  <c r="V9" i="15"/>
  <c r="W9" i="15" s="1"/>
  <c r="AB4" i="15"/>
  <c r="G7" i="15"/>
  <c r="H7" i="15" s="1"/>
  <c r="AK9" i="15"/>
  <c r="AL9" i="15" s="1"/>
  <c r="M11" i="15"/>
  <c r="AB12" i="15"/>
  <c r="AF14" i="15"/>
  <c r="AG14" i="15" s="1"/>
  <c r="AL12" i="15"/>
  <c r="Q6" i="15"/>
  <c r="R6" i="15" s="1"/>
  <c r="AF7" i="15"/>
  <c r="AG7" i="15" s="1"/>
  <c r="AK10" i="15"/>
  <c r="AL10" i="15" s="1"/>
  <c r="AA3" i="15"/>
  <c r="AB3" i="15" s="1"/>
  <c r="Q5" i="15"/>
  <c r="R5" i="15" s="1"/>
  <c r="AF6" i="15"/>
  <c r="AG6" i="15" s="1"/>
  <c r="V8" i="15"/>
  <c r="W8" i="15" s="1"/>
  <c r="L10" i="15"/>
  <c r="M10" i="15" s="1"/>
  <c r="AA11" i="15"/>
  <c r="AB11" i="15" s="1"/>
  <c r="Q13" i="15"/>
  <c r="R13" i="15" s="1"/>
  <c r="AF13" i="15"/>
  <c r="AG13" i="15" s="1"/>
  <c r="G14" i="15"/>
  <c r="H14" i="15" s="1"/>
  <c r="AM14" i="15" s="1"/>
  <c r="AN14" i="15" s="1"/>
  <c r="G4" i="15"/>
  <c r="H4" i="15" s="1"/>
  <c r="AK6" i="15"/>
  <c r="AL6" i="15" s="1"/>
  <c r="L7" i="15"/>
  <c r="M7" i="15" s="1"/>
  <c r="AA8" i="15"/>
  <c r="AB8" i="15" s="1"/>
  <c r="Q10" i="15"/>
  <c r="R10" i="15" s="1"/>
  <c r="AF11" i="15"/>
  <c r="AG11" i="15" s="1"/>
  <c r="G12" i="15"/>
  <c r="AK14" i="15"/>
  <c r="AL14" i="15" s="1"/>
  <c r="AK4" i="15"/>
  <c r="AL4" i="15" s="1"/>
  <c r="Q8" i="15"/>
  <c r="R8" i="15" s="1"/>
  <c r="AA14" i="15"/>
  <c r="AB14" i="15" s="1"/>
  <c r="AL9" i="13"/>
  <c r="AF6" i="13"/>
  <c r="AG6" i="13" s="1"/>
  <c r="AB3" i="13"/>
  <c r="W8" i="13"/>
  <c r="R5" i="13"/>
  <c r="M10" i="13"/>
  <c r="H7" i="13"/>
  <c r="R14" i="13"/>
  <c r="H12" i="13"/>
  <c r="M11" i="13"/>
  <c r="W12" i="13"/>
  <c r="AF3" i="13"/>
  <c r="AG3" i="13" s="1"/>
  <c r="L7" i="13"/>
  <c r="M7" i="13" s="1"/>
  <c r="AA8" i="13"/>
  <c r="AB8" i="13" s="1"/>
  <c r="G12" i="13"/>
  <c r="L3" i="13"/>
  <c r="M3" i="13" s="1"/>
  <c r="AA4" i="13"/>
  <c r="AB4" i="13" s="1"/>
  <c r="Q6" i="13"/>
  <c r="R6" i="13" s="1"/>
  <c r="AF7" i="13"/>
  <c r="AG7" i="13" s="1"/>
  <c r="G8" i="13"/>
  <c r="H8" i="13" s="1"/>
  <c r="V9" i="13"/>
  <c r="W9" i="13" s="1"/>
  <c r="AK10" i="13"/>
  <c r="AL10" i="13" s="1"/>
  <c r="L11" i="13"/>
  <c r="AA12" i="13"/>
  <c r="AB12" i="13" s="1"/>
  <c r="Q14" i="13"/>
  <c r="V5" i="13"/>
  <c r="W5" i="13" s="1"/>
  <c r="AK6" i="13"/>
  <c r="AL6" i="13" s="1"/>
  <c r="Q10" i="13"/>
  <c r="R10" i="13" s="1"/>
  <c r="G4" i="13"/>
  <c r="H4" i="13" s="1"/>
  <c r="AF11" i="13"/>
  <c r="AG11" i="13" s="1"/>
  <c r="V13" i="13"/>
  <c r="W13" i="13" s="1"/>
  <c r="G3" i="13"/>
  <c r="H3" i="13" s="1"/>
  <c r="V4" i="13"/>
  <c r="W4" i="13" s="1"/>
  <c r="AK5" i="13"/>
  <c r="AL5" i="13" s="1"/>
  <c r="L6" i="13"/>
  <c r="M6" i="13" s="1"/>
  <c r="AA7" i="13"/>
  <c r="AB7" i="13" s="1"/>
  <c r="Q9" i="13"/>
  <c r="R9" i="13" s="1"/>
  <c r="AF10" i="13"/>
  <c r="AG10" i="13" s="1"/>
  <c r="G11" i="13"/>
  <c r="H11" i="13" s="1"/>
  <c r="AM11" i="13" s="1"/>
  <c r="AN11" i="13" s="1"/>
  <c r="V12" i="13"/>
  <c r="AK13" i="13"/>
  <c r="AL13" i="13" s="1"/>
  <c r="L14" i="13"/>
  <c r="M14" i="13" s="1"/>
  <c r="AM14" i="13" s="1"/>
  <c r="AN14" i="13" s="1"/>
  <c r="R13" i="8"/>
  <c r="R11" i="8"/>
  <c r="W10" i="8"/>
  <c r="W13" i="8"/>
  <c r="M13" i="8"/>
  <c r="AB12" i="8"/>
  <c r="AL13" i="8"/>
  <c r="R10" i="8"/>
  <c r="H12" i="8"/>
  <c r="AK10" i="8"/>
  <c r="AL10" i="8" s="1"/>
  <c r="AG10" i="8"/>
  <c r="AG14" i="8"/>
  <c r="M14" i="8"/>
  <c r="AA11" i="8"/>
  <c r="AB11" i="8" s="1"/>
  <c r="G11" i="8"/>
  <c r="H11" i="8" s="1"/>
  <c r="AB14" i="8"/>
  <c r="H14" i="8"/>
  <c r="W11" i="8"/>
  <c r="W12" i="8"/>
  <c r="AL9" i="8"/>
  <c r="R9" i="8"/>
  <c r="AL12" i="8"/>
  <c r="R12" i="8"/>
  <c r="M10" i="8"/>
  <c r="H10" i="8"/>
  <c r="H4" i="8"/>
  <c r="AM4" i="8" s="1"/>
  <c r="AN4" i="8" s="1"/>
  <c r="AM3" i="8"/>
  <c r="AN3" i="8" s="1"/>
  <c r="AA5" i="8"/>
  <c r="AB5" i="8" s="1"/>
  <c r="AM5" i="8" s="1"/>
  <c r="AN5" i="8" s="1"/>
  <c r="AM6" i="8"/>
  <c r="AN6" i="8" s="1"/>
  <c r="AM7" i="8"/>
  <c r="AN7" i="8" s="1"/>
  <c r="AM8" i="8"/>
  <c r="AN8" i="8" s="1"/>
  <c r="AM3" i="21" l="1"/>
  <c r="AN3" i="21" s="1"/>
  <c r="AM8" i="21"/>
  <c r="AN8" i="21" s="1"/>
  <c r="AM7" i="21"/>
  <c r="AN7" i="21" s="1"/>
  <c r="AM5" i="21"/>
  <c r="AN5" i="21" s="1"/>
  <c r="AM4" i="21"/>
  <c r="AN4" i="21" s="1"/>
  <c r="AM6" i="21"/>
  <c r="AN6" i="21" s="1"/>
  <c r="AM13" i="21"/>
  <c r="AN13" i="21" s="1"/>
  <c r="AM12" i="21"/>
  <c r="AN12" i="21" s="1"/>
  <c r="AM5" i="20"/>
  <c r="AN5" i="20" s="1"/>
  <c r="AM3" i="20"/>
  <c r="AN3" i="20" s="1"/>
  <c r="AM4" i="20"/>
  <c r="AN4" i="20" s="1"/>
  <c r="AM8" i="20"/>
  <c r="AN8" i="20" s="1"/>
  <c r="AM6" i="20"/>
  <c r="AN6" i="20" s="1"/>
  <c r="AM9" i="20"/>
  <c r="AN9" i="20" s="1"/>
  <c r="AM7" i="20"/>
  <c r="AN7" i="20" s="1"/>
  <c r="AM11" i="18"/>
  <c r="AN11" i="18" s="1"/>
  <c r="AM10" i="18"/>
  <c r="AN10" i="18" s="1"/>
  <c r="AM8" i="18"/>
  <c r="AN8" i="18" s="1"/>
  <c r="AM5" i="18"/>
  <c r="AN5" i="18" s="1"/>
  <c r="AM4" i="18"/>
  <c r="AN4" i="18" s="1"/>
  <c r="AM3" i="18"/>
  <c r="AN3" i="18" s="1"/>
  <c r="AM7" i="18"/>
  <c r="AN7" i="18" s="1"/>
  <c r="AM6" i="18"/>
  <c r="AN6" i="18" s="1"/>
  <c r="AM9" i="18"/>
  <c r="AN9" i="18" s="1"/>
  <c r="AM12" i="17"/>
  <c r="AN12" i="17" s="1"/>
  <c r="AM8" i="17"/>
  <c r="AN8" i="17" s="1"/>
  <c r="AM6" i="17"/>
  <c r="AN6" i="17" s="1"/>
  <c r="AM11" i="17"/>
  <c r="AN11" i="17" s="1"/>
  <c r="AM7" i="17"/>
  <c r="AN7" i="17" s="1"/>
  <c r="AM3" i="17"/>
  <c r="AN3" i="17" s="1"/>
  <c r="AM10" i="17"/>
  <c r="AN10" i="17" s="1"/>
  <c r="AM9" i="17"/>
  <c r="AN9" i="17" s="1"/>
  <c r="AM4" i="17"/>
  <c r="AN4" i="17" s="1"/>
  <c r="AM5" i="17"/>
  <c r="AN5" i="17" s="1"/>
  <c r="AM6" i="16"/>
  <c r="AN6" i="16" s="1"/>
  <c r="AM10" i="16"/>
  <c r="AN10" i="16" s="1"/>
  <c r="AM7" i="16"/>
  <c r="AN7" i="16" s="1"/>
  <c r="AM8" i="16"/>
  <c r="AN8" i="16" s="1"/>
  <c r="AM13" i="16"/>
  <c r="AN13" i="16" s="1"/>
  <c r="AM5" i="16"/>
  <c r="AN5" i="16" s="1"/>
  <c r="AM4" i="16"/>
  <c r="AN4" i="16" s="1"/>
  <c r="AM3" i="16"/>
  <c r="AN3" i="16" s="1"/>
  <c r="AM4" i="15"/>
  <c r="AN4" i="15" s="1"/>
  <c r="AM9" i="15"/>
  <c r="AN9" i="15" s="1"/>
  <c r="AM5" i="15"/>
  <c r="AN5" i="15" s="1"/>
  <c r="AM13" i="15"/>
  <c r="AN13" i="15" s="1"/>
  <c r="AM11" i="15"/>
  <c r="AN11" i="15" s="1"/>
  <c r="AM6" i="15"/>
  <c r="AN6" i="15" s="1"/>
  <c r="AM8" i="15"/>
  <c r="AN8" i="15" s="1"/>
  <c r="AM3" i="15"/>
  <c r="AN3" i="15" s="1"/>
  <c r="AM7" i="15"/>
  <c r="AN7" i="15" s="1"/>
  <c r="AM10" i="15"/>
  <c r="AN10" i="15" s="1"/>
  <c r="AM9" i="13"/>
  <c r="AN9" i="13" s="1"/>
  <c r="AM4" i="13"/>
  <c r="AN4" i="13" s="1"/>
  <c r="AM6" i="13"/>
  <c r="AN6" i="13" s="1"/>
  <c r="AM10" i="13"/>
  <c r="AN10" i="13" s="1"/>
  <c r="AM7" i="13"/>
  <c r="AN7" i="13" s="1"/>
  <c r="AM5" i="13"/>
  <c r="AN5" i="13" s="1"/>
  <c r="AM3" i="13"/>
  <c r="AN3" i="13" s="1"/>
  <c r="AM13" i="13"/>
  <c r="AN13" i="13" s="1"/>
  <c r="AM12" i="13"/>
  <c r="AN12" i="13" s="1"/>
  <c r="AM8" i="13"/>
  <c r="AN8" i="13" s="1"/>
  <c r="AM9" i="8"/>
  <c r="AN9" i="8" s="1"/>
  <c r="AM13" i="8"/>
  <c r="AN13" i="8" s="1"/>
  <c r="AM11" i="8"/>
  <c r="AN11" i="8" s="1"/>
  <c r="AM12" i="8"/>
  <c r="AN12" i="8" s="1"/>
  <c r="AM10" i="8"/>
  <c r="AN10" i="8" s="1"/>
  <c r="AM14" i="8"/>
  <c r="AN14" i="8" s="1"/>
</calcChain>
</file>

<file path=xl/sharedStrings.xml><?xml version="1.0" encoding="utf-8"?>
<sst xmlns="http://schemas.openxmlformats.org/spreadsheetml/2006/main" count="722" uniqueCount="52">
  <si>
    <t>SIRA</t>
  </si>
  <si>
    <t>POZİSYON</t>
  </si>
  <si>
    <t>GİRİŞ SAATİ</t>
  </si>
  <si>
    <t>ÇIKIŞ SAATİ</t>
  </si>
  <si>
    <t>İSİM -SOYİSİM</t>
  </si>
  <si>
    <t>SM</t>
  </si>
  <si>
    <t>MOLA SAATİ</t>
  </si>
  <si>
    <t>BRÜT ÇALIŞMA SAATİ</t>
  </si>
  <si>
    <t>NET ÇALIŞMA SAATİ</t>
  </si>
  <si>
    <t>HAFTALIK MESAİ</t>
  </si>
  <si>
    <t>TOPLAM NET ÇALIŞMA</t>
  </si>
  <si>
    <t>TOPLAM MESAİ</t>
  </si>
  <si>
    <t>TOPLAM</t>
  </si>
  <si>
    <t>SD</t>
  </si>
  <si>
    <t>ÇALIŞMA SAATİ</t>
  </si>
  <si>
    <t>İLGİLİ HAFTA FAZLA MESAİ</t>
  </si>
  <si>
    <t>İLGİLİ HAFTA MESAİ KULLANIM</t>
  </si>
  <si>
    <t>KALAN MESAİ</t>
  </si>
  <si>
    <t>DEVREDEN MESAİ SAATİ</t>
  </si>
  <si>
    <t>İMZA</t>
  </si>
  <si>
    <t>SHİFT İLE ALAKALI KURALLAR</t>
  </si>
  <si>
    <t>Çalışma programı  tüm mağaza çalışanları tarafından imzalanacaktır.</t>
  </si>
  <si>
    <t>İmzalı shiftler mağazada dosyalanacak. (Arşiv)</t>
  </si>
  <si>
    <t>Shiftlere bağlı kalınacak, değişiklikler Bölge Yöneticileri ONAYI ile gerçekleşecek.</t>
  </si>
  <si>
    <t>Shiftlerin altına fazla mesai tablosu tutulacak. (Fazla mesailer shift altında kayıtlı tutulacak)</t>
  </si>
  <si>
    <t>Shiftler en geç Cuma saat 16:00'a kadar Bölge Yöneticilerine mail atılacak. Onaylanan shifter IK ekibine iletilecektir.</t>
  </si>
  <si>
    <t>Şirket tarafından önceliklendirilen 12.00 – 21.00 saatleri arasındaki shiftin mümkün olan en yüksek ekip sayısı ile desteklenmesi esastır.</t>
  </si>
  <si>
    <t>Çalışma ve mola süreleri yürürlükteki yasal düzenlemelere uygun olarak planlanacaktır. (Sayfa Mola Saatleri)</t>
  </si>
  <si>
    <t>Açılış ve kapanış ekip sayıları mağazanın toplam kadrosuna göre belirlenecektir. Detaylar prosedürde yazan şekilde ilerleyecektir.</t>
  </si>
  <si>
    <t>Cumartesi ve Pazar günleri standart uygulamada personel izni planlanmayacaktır.</t>
  </si>
  <si>
    <t>Mağaza yöneticileri, shift planlarının bu prosedüre uygun hazırlanmasından sorumludur.</t>
  </si>
  <si>
    <t>SV</t>
  </si>
  <si>
    <t>MUSTAFA BERAT DAĞITMAÇ</t>
  </si>
  <si>
    <t>SİNEM PALAZ</t>
  </si>
  <si>
    <t>SERKAN CANİK</t>
  </si>
  <si>
    <t>CEM AKTAŞ</t>
  </si>
  <si>
    <t xml:space="preserve">BORA KÜÇÜKTUNCA </t>
  </si>
  <si>
    <t>EDANUR ÖZ</t>
  </si>
  <si>
    <t>MERVE ÇETİN</t>
  </si>
  <si>
    <t>ECE NUR TEMÜR</t>
  </si>
  <si>
    <t xml:space="preserve">SİNEM PALAZ </t>
  </si>
  <si>
    <t>BORA KÜÇÜTUNCA</t>
  </si>
  <si>
    <t>45.5</t>
  </si>
  <si>
    <t>1..5</t>
  </si>
  <si>
    <t>11..5</t>
  </si>
  <si>
    <t>0..5</t>
  </si>
  <si>
    <t>SPV</t>
  </si>
  <si>
    <t>3..5</t>
  </si>
  <si>
    <t>4..5</t>
  </si>
  <si>
    <t>54.5</t>
  </si>
  <si>
    <t>3,,5</t>
  </si>
  <si>
    <t>16..5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</si>
</sst>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1"/>
      <color indexed="8"/>
      <name val="Calibri"/>
      <family val="2"/>
      <charset val="162"/>
    </font>
    <font>
      <b/>
      <sz val="11"/>
      <color indexed="8"/>
      <name val="Calibri"/>
      <family val="2"/>
      <charset val="162"/>
    </font>
    <font>
      <b/>
      <sz val="16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b/>
      <sz val="14"/>
      <color indexed="8"/>
      <name val="Calibri"/>
      <family val="2"/>
      <charset val="162"/>
    </font>
    <font>
      <b/>
      <sz val="9"/>
      <color indexed="8"/>
      <name val="Calibri"/>
      <family val="2"/>
      <charset val="162"/>
    </font>
    <font>
      <sz val="8"/>
      <name val="Calibri"/>
      <family val="2"/>
      <charset val="162"/>
    </font>
    <font>
      <b/>
      <sz val="18"/>
      <color indexed="8"/>
      <name val="Calibri"/>
      <family val="2"/>
      <charset val="162"/>
    </font>
    <font>
      <sz val="11"/>
      <color indexed="8"/>
      <name val="Symbol"/>
      <family val="1"/>
      <charset val="2"/>
    </font>
    <font>
      <b/>
      <sz val="28"/>
      <color indexed="8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2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3" fillId="3" borderId="13" xfId="0" applyFont="1" applyFill="1" applyBorder="1" applyAlignment="1" applyProtection="1">
      <alignment horizontal="center" vertical="center" wrapText="1"/>
      <protection locked="0"/>
    </xf>
    <xf numFmtId="165" fontId="0" fillId="0" borderId="0" xfId="0" applyNumberFormat="1"/>
    <xf numFmtId="165" fontId="4" fillId="0" borderId="8" xfId="0" applyNumberFormat="1" applyFont="1" applyBorder="1" applyAlignment="1" applyProtection="1">
      <alignment horizontal="center" vertical="center"/>
      <protection locked="0"/>
    </xf>
    <xf numFmtId="165" fontId="4" fillId="0" borderId="9" xfId="0" applyNumberFormat="1" applyFont="1" applyBorder="1" applyAlignment="1" applyProtection="1">
      <alignment horizontal="center" vertical="center"/>
      <protection locked="0"/>
    </xf>
    <xf numFmtId="2" fontId="0" fillId="0" borderId="0" xfId="0" applyNumberFormat="1"/>
    <xf numFmtId="14" fontId="1" fillId="0" borderId="0" xfId="0" applyNumberFormat="1" applyFont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" xfId="0" applyFont="1" applyFill="1" applyBorder="1" applyAlignment="1" applyProtection="1">
      <alignment horizontal="center" vertical="center" wrapText="1"/>
      <protection hidden="1"/>
    </xf>
    <xf numFmtId="0" fontId="5" fillId="4" borderId="1" xfId="0" applyFont="1" applyFill="1" applyBorder="1" applyAlignment="1" applyProtection="1">
      <alignment horizontal="center" vertical="center" wrapText="1"/>
      <protection hidden="1"/>
    </xf>
    <xf numFmtId="0" fontId="5" fillId="4" borderId="7" xfId="0" applyFont="1" applyFill="1" applyBorder="1" applyAlignment="1" applyProtection="1">
      <alignment horizontal="center" vertical="center" wrapText="1"/>
      <protection hidden="1"/>
    </xf>
    <xf numFmtId="0" fontId="5" fillId="4" borderId="6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65" fontId="4" fillId="7" borderId="9" xfId="0" applyNumberFormat="1" applyFont="1" applyFill="1" applyBorder="1" applyAlignment="1" applyProtection="1">
      <alignment horizontal="center" vertical="center"/>
      <protection hidden="1"/>
    </xf>
    <xf numFmtId="165" fontId="4" fillId="5" borderId="9" xfId="0" applyNumberFormat="1" applyFont="1" applyFill="1" applyBorder="1" applyAlignment="1" applyProtection="1">
      <alignment horizontal="center" vertical="center"/>
      <protection hidden="1"/>
    </xf>
    <xf numFmtId="165" fontId="4" fillId="6" borderId="10" xfId="0" applyNumberFormat="1" applyFont="1" applyFill="1" applyBorder="1" applyAlignment="1" applyProtection="1">
      <alignment horizontal="center" vertical="center"/>
      <protection hidden="1"/>
    </xf>
    <xf numFmtId="46" fontId="2" fillId="9" borderId="8" xfId="0" applyNumberFormat="1" applyFont="1" applyFill="1" applyBorder="1" applyAlignment="1" applyProtection="1">
      <alignment horizontal="center" vertical="center"/>
      <protection hidden="1"/>
    </xf>
    <xf numFmtId="46" fontId="2" fillId="8" borderId="10" xfId="0" applyNumberFormat="1" applyFont="1" applyFill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5" fontId="0" fillId="0" borderId="16" xfId="0" applyNumberFormat="1" applyBorder="1" applyAlignment="1" applyProtection="1">
      <alignment horizontal="center" vertical="center"/>
      <protection hidden="1"/>
    </xf>
    <xf numFmtId="0" fontId="2" fillId="4" borderId="6" xfId="0" applyFont="1" applyFill="1" applyBorder="1" applyAlignment="1" applyProtection="1">
      <alignment horizontal="center" vertical="center"/>
      <protection hidden="1"/>
    </xf>
    <xf numFmtId="0" fontId="2" fillId="4" borderId="8" xfId="0" applyFont="1" applyFill="1" applyBorder="1" applyAlignment="1" applyProtection="1">
      <alignment horizontal="center" vertical="center"/>
      <protection hidden="1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4" fillId="4" borderId="3" xfId="0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center" vertical="center" wrapText="1"/>
      <protection hidden="1"/>
    </xf>
    <xf numFmtId="46" fontId="2" fillId="3" borderId="10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8" fillId="0" borderId="0" xfId="0" applyFont="1" applyAlignment="1">
      <alignment horizontal="justify" vertical="center"/>
    </xf>
    <xf numFmtId="1" fontId="3" fillId="3" borderId="9" xfId="0" applyNumberFormat="1" applyFont="1" applyFill="1" applyBorder="1" applyAlignment="1" applyProtection="1">
      <alignment horizontal="center" vertical="center" wrapText="1"/>
      <protection locked="0"/>
    </xf>
    <xf numFmtId="1" fontId="3" fillId="3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left" vertical="center"/>
      <protection hidden="1"/>
    </xf>
    <xf numFmtId="0" fontId="4" fillId="0" borderId="10" xfId="0" applyFont="1" applyBorder="1" applyAlignment="1" applyProtection="1">
      <alignment horizontal="left" vertical="center"/>
      <protection hidden="1"/>
    </xf>
    <xf numFmtId="1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" fontId="3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left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4" borderId="4" xfId="0" applyFont="1" applyFill="1" applyBorder="1" applyAlignment="1" applyProtection="1">
      <alignment horizontal="center" vertical="center" wrapText="1"/>
      <protection hidden="1"/>
    </xf>
    <xf numFmtId="0" fontId="4" fillId="4" borderId="5" xfId="0" applyFont="1" applyFill="1" applyBorder="1" applyAlignment="1" applyProtection="1">
      <alignment horizontal="center"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7" fillId="4" borderId="19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9" fillId="4" borderId="20" xfId="0" applyFont="1" applyFill="1" applyBorder="1" applyAlignment="1" applyProtection="1">
      <alignment horizontal="center" vertical="center" wrapText="1"/>
      <protection hidden="1"/>
    </xf>
    <xf numFmtId="0" fontId="9" fillId="4" borderId="21" xfId="0" applyFont="1" applyFill="1" applyBorder="1" applyAlignment="1" applyProtection="1">
      <alignment horizontal="center" vertical="center" wrapText="1"/>
      <protection hidden="1"/>
    </xf>
    <xf numFmtId="0" fontId="2" fillId="4" borderId="3" xfId="0" applyFont="1" applyFill="1" applyBorder="1" applyAlignment="1" applyProtection="1">
      <alignment horizontal="center" vertical="center"/>
      <protection hidden="1"/>
    </xf>
    <xf numFmtId="0" fontId="2" fillId="4" borderId="6" xfId="0" applyFont="1" applyFill="1" applyBorder="1" applyAlignment="1" applyProtection="1">
      <alignment horizontal="center" vertical="center"/>
      <protection hidden="1"/>
    </xf>
    <xf numFmtId="0" fontId="2" fillId="4" borderId="17" xfId="0" applyFont="1" applyFill="1" applyBorder="1" applyAlignment="1" applyProtection="1">
      <alignment horizontal="center" vertical="center" wrapText="1"/>
      <protection hidden="1"/>
    </xf>
    <xf numFmtId="0" fontId="2" fillId="4" borderId="2" xfId="0" applyFont="1" applyFill="1" applyBorder="1" applyAlignment="1" applyProtection="1">
      <alignment horizontal="center" vertical="center" wrapText="1"/>
      <protection hidden="1"/>
    </xf>
    <xf numFmtId="0" fontId="2" fillId="4" borderId="11" xfId="0" applyFont="1" applyFill="1" applyBorder="1" applyAlignment="1" applyProtection="1">
      <alignment horizontal="center" vertical="center"/>
      <protection hidden="1"/>
    </xf>
    <xf numFmtId="0" fontId="2" fillId="4" borderId="12" xfId="0" applyFont="1" applyFill="1" applyBorder="1" applyAlignment="1" applyProtection="1">
      <alignment horizontal="center" vertical="center" wrapText="1"/>
      <protection hidden="1"/>
    </xf>
    <xf numFmtId="164" fontId="2" fillId="0" borderId="3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164" fontId="2" fillId="0" borderId="5" xfId="0" applyNumberFormat="1" applyFont="1" applyBorder="1" applyAlignment="1" applyProtection="1">
      <alignment horizontal="center" vertical="center"/>
      <protection locked="0"/>
    </xf>
    <xf numFmtId="14" fontId="2" fillId="0" borderId="14" xfId="0" applyNumberFormat="1" applyFont="1" applyBorder="1" applyAlignment="1" applyProtection="1">
      <alignment horizontal="center" vertical="center"/>
      <protection hidden="1"/>
    </xf>
    <xf numFmtId="14" fontId="2" fillId="0" borderId="15" xfId="0" applyNumberFormat="1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FF9999"/>
      <color rgb="FFFF3399"/>
      <color rgb="FFE10FC8"/>
      <color rgb="FFD26104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D0A3-F973-4D9B-BEEB-B1D48F8C0964}">
  <sheetPr>
    <tabColor rgb="FFFF0000"/>
  </sheetPr>
  <dimension ref="A1:B29"/>
  <sheetViews>
    <sheetView workbookViewId="0">
      <selection activeCell="L22" sqref="L22"/>
    </sheetView>
  </sheetViews>
  <sheetFormatPr defaultRowHeight="14.4" x14ac:dyDescent="0.3"/>
  <cols>
    <col min="1" max="1" width="14.33203125" style="20" bestFit="1" customWidth="1"/>
    <col min="2" max="2" width="11.6640625" style="20" bestFit="1" customWidth="1"/>
    <col min="3" max="16384" width="8.88671875" style="20"/>
  </cols>
  <sheetData>
    <row r="1" spans="1:2" x14ac:dyDescent="0.3">
      <c r="A1" s="19" t="s">
        <v>14</v>
      </c>
      <c r="B1" s="19" t="s">
        <v>6</v>
      </c>
    </row>
    <row r="2" spans="1:2" x14ac:dyDescent="0.3">
      <c r="A2" s="21">
        <v>0.16666666666666666</v>
      </c>
      <c r="B2" s="21">
        <v>2.0833333333333332E-2</v>
      </c>
    </row>
    <row r="3" spans="1:2" x14ac:dyDescent="0.3">
      <c r="A3" s="21">
        <v>0</v>
      </c>
      <c r="B3" s="21">
        <v>0</v>
      </c>
    </row>
    <row r="4" spans="1:2" x14ac:dyDescent="0.3">
      <c r="A4" s="21">
        <v>0.1875</v>
      </c>
      <c r="B4" s="21">
        <v>2.0833333333333332E-2</v>
      </c>
    </row>
    <row r="5" spans="1:2" x14ac:dyDescent="0.3">
      <c r="A5" s="21">
        <v>0.20833333333333301</v>
      </c>
      <c r="B5" s="21">
        <v>2.0833333333333332E-2</v>
      </c>
    </row>
    <row r="6" spans="1:2" x14ac:dyDescent="0.3">
      <c r="A6" s="21">
        <v>0.22916666666666699</v>
      </c>
      <c r="B6" s="21">
        <v>2.0833333333333332E-2</v>
      </c>
    </row>
    <row r="7" spans="1:2" x14ac:dyDescent="0.3">
      <c r="A7" s="21">
        <v>0.25</v>
      </c>
      <c r="B7" s="21">
        <v>4.1666666666666664E-2</v>
      </c>
    </row>
    <row r="8" spans="1:2" x14ac:dyDescent="0.3">
      <c r="A8" s="21">
        <v>0.27083333333333298</v>
      </c>
      <c r="B8" s="21">
        <v>4.1666666666666664E-2</v>
      </c>
    </row>
    <row r="9" spans="1:2" x14ac:dyDescent="0.3">
      <c r="A9" s="21">
        <v>0.29166666666666702</v>
      </c>
      <c r="B9" s="21">
        <v>4.1666666666666664E-2</v>
      </c>
    </row>
    <row r="10" spans="1:2" x14ac:dyDescent="0.3">
      <c r="A10" s="21">
        <v>0.3125</v>
      </c>
      <c r="B10" s="21">
        <v>4.1666666666666664E-2</v>
      </c>
    </row>
    <row r="11" spans="1:2" x14ac:dyDescent="0.3">
      <c r="A11" s="21">
        <v>0.33333333333333298</v>
      </c>
      <c r="B11" s="21">
        <v>4.1666666666666664E-2</v>
      </c>
    </row>
    <row r="12" spans="1:2" x14ac:dyDescent="0.3">
      <c r="A12" s="21">
        <v>0.35416666666666702</v>
      </c>
      <c r="B12" s="21">
        <v>6.25E-2</v>
      </c>
    </row>
    <row r="13" spans="1:2" x14ac:dyDescent="0.3">
      <c r="A13" s="21">
        <v>0.375</v>
      </c>
      <c r="B13" s="21">
        <v>6.25E-2</v>
      </c>
    </row>
    <row r="14" spans="1:2" x14ac:dyDescent="0.3">
      <c r="A14" s="21">
        <v>0.39583333333333298</v>
      </c>
      <c r="B14" s="21">
        <v>6.25E-2</v>
      </c>
    </row>
    <row r="15" spans="1:2" x14ac:dyDescent="0.3">
      <c r="A15" s="21">
        <v>0.41666666666666702</v>
      </c>
      <c r="B15" s="21">
        <v>6.25E-2</v>
      </c>
    </row>
    <row r="16" spans="1:2" x14ac:dyDescent="0.3">
      <c r="A16" s="21">
        <v>0.4375</v>
      </c>
      <c r="B16" s="21">
        <v>6.25E-2</v>
      </c>
    </row>
    <row r="17" spans="1:2" x14ac:dyDescent="0.3">
      <c r="A17" s="21">
        <v>0.45833333333333298</v>
      </c>
      <c r="B17" s="21">
        <v>6.25E-2</v>
      </c>
    </row>
    <row r="18" spans="1:2" x14ac:dyDescent="0.3">
      <c r="A18" s="21">
        <v>0.47916666666666702</v>
      </c>
      <c r="B18" s="21">
        <v>8.3333333333333329E-2</v>
      </c>
    </row>
    <row r="19" spans="1:2" x14ac:dyDescent="0.3">
      <c r="A19" s="21">
        <v>0.5</v>
      </c>
      <c r="B19" s="21">
        <v>8.3333333333333329E-2</v>
      </c>
    </row>
    <row r="20" spans="1:2" x14ac:dyDescent="0.3">
      <c r="A20" s="21">
        <v>0.52083333333333304</v>
      </c>
      <c r="B20" s="21">
        <v>8.3333333333333329E-2</v>
      </c>
    </row>
    <row r="21" spans="1:2" x14ac:dyDescent="0.3">
      <c r="A21" s="21">
        <v>0.54166666666666696</v>
      </c>
      <c r="B21" s="21">
        <v>8.3333333333333329E-2</v>
      </c>
    </row>
    <row r="22" spans="1:2" x14ac:dyDescent="0.3">
      <c r="A22" s="21">
        <v>0.5625</v>
      </c>
      <c r="B22" s="21">
        <v>8.3333333333333329E-2</v>
      </c>
    </row>
    <row r="23" spans="1:2" x14ac:dyDescent="0.3">
      <c r="A23" s="21">
        <v>0.58333333333333304</v>
      </c>
      <c r="B23" s="21">
        <v>8.3333333333333329E-2</v>
      </c>
    </row>
    <row r="24" spans="1:2" x14ac:dyDescent="0.3">
      <c r="A24" s="21">
        <v>0.60416666666666696</v>
      </c>
      <c r="B24" s="21">
        <v>0.10416666666666667</v>
      </c>
    </row>
    <row r="25" spans="1:2" x14ac:dyDescent="0.3">
      <c r="A25" s="21">
        <v>0.625</v>
      </c>
      <c r="B25" s="21">
        <v>0.10416666666666667</v>
      </c>
    </row>
    <row r="26" spans="1:2" x14ac:dyDescent="0.3">
      <c r="A26" s="21">
        <v>0.64583333333333304</v>
      </c>
      <c r="B26" s="21">
        <v>0.10416666666666667</v>
      </c>
    </row>
    <row r="27" spans="1:2" x14ac:dyDescent="0.3">
      <c r="A27" s="21">
        <v>0.66666666666666696</v>
      </c>
      <c r="B27" s="21">
        <v>0.10416666666666667</v>
      </c>
    </row>
    <row r="28" spans="1:2" x14ac:dyDescent="0.3">
      <c r="A28" s="21">
        <v>0.6875</v>
      </c>
      <c r="B28" s="21">
        <v>0.10416666666666667</v>
      </c>
    </row>
    <row r="29" spans="1:2" x14ac:dyDescent="0.3">
      <c r="A29" s="21">
        <v>0.70833333333333304</v>
      </c>
      <c r="B29" s="21">
        <v>0.10416666666666667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C35D-F53A-48B4-9EF4-B6C2BBB37594}">
  <sheetPr>
    <pageSetUpPr fitToPage="1"/>
  </sheetPr>
  <dimension ref="A1:AO35"/>
  <sheetViews>
    <sheetView topLeftCell="B1" zoomScale="49" zoomScaleNormal="49" workbookViewId="0">
      <selection activeCell="D8" sqref="D8"/>
    </sheetView>
  </sheetViews>
  <sheetFormatPr defaultColWidth="9.109375" defaultRowHeight="14.4" x14ac:dyDescent="0.3"/>
  <cols>
    <col min="1" max="1" width="8.44140625" style="13" bestFit="1" customWidth="1"/>
    <col min="2" max="2" width="25.77734375" style="13" customWidth="1"/>
    <col min="3" max="3" width="14.5546875" style="13" bestFit="1" customWidth="1"/>
    <col min="4" max="4" width="11.21875" style="13" bestFit="1" customWidth="1"/>
    <col min="5" max="5" width="11.21875" style="13" customWidth="1"/>
    <col min="6" max="7" width="11.21875" style="13" bestFit="1" customWidth="1"/>
    <col min="8" max="8" width="11.21875" style="13" customWidth="1"/>
    <col min="9" max="10" width="11.21875" style="13" bestFit="1" customWidth="1"/>
    <col min="11" max="11" width="11.21875" style="13" customWidth="1"/>
    <col min="12" max="38" width="11.21875" style="13" bestFit="1" customWidth="1"/>
    <col min="39" max="40" width="20.77734375" style="13" customWidth="1"/>
    <col min="41" max="41" width="40.77734375" style="13" customWidth="1"/>
    <col min="42" max="16384" width="9.109375" style="13"/>
  </cols>
  <sheetData>
    <row r="1" spans="1:41" s="7" customFormat="1" ht="25.5" customHeight="1" thickTop="1" thickBot="1" x14ac:dyDescent="0.35">
      <c r="A1" s="47" t="s">
        <v>0</v>
      </c>
      <c r="B1" s="49" t="s">
        <v>4</v>
      </c>
      <c r="C1" s="51" t="s">
        <v>1</v>
      </c>
      <c r="D1" s="53">
        <v>46265</v>
      </c>
      <c r="E1" s="54"/>
      <c r="F1" s="54"/>
      <c r="G1" s="54"/>
      <c r="H1" s="55"/>
      <c r="I1" s="53">
        <v>46266</v>
      </c>
      <c r="J1" s="54"/>
      <c r="K1" s="54"/>
      <c r="L1" s="54"/>
      <c r="M1" s="55"/>
      <c r="N1" s="53">
        <v>46267</v>
      </c>
      <c r="O1" s="54"/>
      <c r="P1" s="54"/>
      <c r="Q1" s="54"/>
      <c r="R1" s="55"/>
      <c r="S1" s="53">
        <v>46268</v>
      </c>
      <c r="T1" s="54"/>
      <c r="U1" s="54"/>
      <c r="V1" s="54"/>
      <c r="W1" s="55"/>
      <c r="X1" s="53">
        <v>46269</v>
      </c>
      <c r="Y1" s="54"/>
      <c r="Z1" s="54"/>
      <c r="AA1" s="54"/>
      <c r="AB1" s="55"/>
      <c r="AC1" s="53">
        <v>46270</v>
      </c>
      <c r="AD1" s="54"/>
      <c r="AE1" s="54"/>
      <c r="AF1" s="54"/>
      <c r="AG1" s="55"/>
      <c r="AH1" s="53">
        <v>46271</v>
      </c>
      <c r="AI1" s="54"/>
      <c r="AJ1" s="54"/>
      <c r="AK1" s="54"/>
      <c r="AL1" s="55"/>
      <c r="AM1" s="56" t="s">
        <v>12</v>
      </c>
      <c r="AN1" s="57"/>
      <c r="AO1" s="45" t="s">
        <v>19</v>
      </c>
    </row>
    <row r="2" spans="1:41" ht="41.4" customHeight="1" thickBot="1" x14ac:dyDescent="0.35">
      <c r="A2" s="48"/>
      <c r="B2" s="50"/>
      <c r="C2" s="52"/>
      <c r="D2" s="8" t="s">
        <v>2</v>
      </c>
      <c r="E2" s="9" t="s">
        <v>3</v>
      </c>
      <c r="F2" s="10" t="s">
        <v>7</v>
      </c>
      <c r="G2" s="10" t="s">
        <v>6</v>
      </c>
      <c r="H2" s="11" t="s">
        <v>8</v>
      </c>
      <c r="I2" s="8" t="s">
        <v>2</v>
      </c>
      <c r="J2" s="9" t="s">
        <v>3</v>
      </c>
      <c r="K2" s="10" t="s">
        <v>7</v>
      </c>
      <c r="L2" s="10" t="s">
        <v>6</v>
      </c>
      <c r="M2" s="11" t="s">
        <v>8</v>
      </c>
      <c r="N2" s="8" t="s">
        <v>2</v>
      </c>
      <c r="O2" s="9" t="s">
        <v>3</v>
      </c>
      <c r="P2" s="10" t="s">
        <v>7</v>
      </c>
      <c r="Q2" s="10" t="s">
        <v>6</v>
      </c>
      <c r="R2" s="11" t="s">
        <v>8</v>
      </c>
      <c r="S2" s="8" t="s">
        <v>2</v>
      </c>
      <c r="T2" s="9" t="s">
        <v>3</v>
      </c>
      <c r="U2" s="10" t="s">
        <v>7</v>
      </c>
      <c r="V2" s="10" t="s">
        <v>6</v>
      </c>
      <c r="W2" s="11" t="s">
        <v>8</v>
      </c>
      <c r="X2" s="8" t="s">
        <v>2</v>
      </c>
      <c r="Y2" s="9" t="s">
        <v>3</v>
      </c>
      <c r="Z2" s="10" t="s">
        <v>7</v>
      </c>
      <c r="AA2" s="10" t="s">
        <v>6</v>
      </c>
      <c r="AB2" s="11" t="s">
        <v>8</v>
      </c>
      <c r="AC2" s="8" t="s">
        <v>2</v>
      </c>
      <c r="AD2" s="9" t="s">
        <v>3</v>
      </c>
      <c r="AE2" s="10" t="s">
        <v>7</v>
      </c>
      <c r="AF2" s="10" t="s">
        <v>6</v>
      </c>
      <c r="AG2" s="11" t="s">
        <v>8</v>
      </c>
      <c r="AH2" s="8" t="s">
        <v>2</v>
      </c>
      <c r="AI2" s="9" t="s">
        <v>3</v>
      </c>
      <c r="AJ2" s="10" t="s">
        <v>7</v>
      </c>
      <c r="AK2" s="10" t="s">
        <v>6</v>
      </c>
      <c r="AL2" s="11" t="s">
        <v>8</v>
      </c>
      <c r="AM2" s="12" t="s">
        <v>10</v>
      </c>
      <c r="AN2" s="11" t="s">
        <v>11</v>
      </c>
      <c r="AO2" s="46"/>
    </row>
    <row r="3" spans="1:41" ht="48" customHeight="1" thickBot="1" x14ac:dyDescent="0.35">
      <c r="A3" s="22">
        <v>1</v>
      </c>
      <c r="B3" s="1" t="s">
        <v>32</v>
      </c>
      <c r="C3" s="2" t="s">
        <v>5</v>
      </c>
      <c r="D3" s="4">
        <v>0.39583333333333298</v>
      </c>
      <c r="E3" s="5">
        <v>0.72916666666666696</v>
      </c>
      <c r="F3" s="14">
        <f>E3-D3</f>
        <v>0.33333333333333398</v>
      </c>
      <c r="G3" s="15">
        <f>IFERROR(VLOOKUP(F3,Sayfa1!C:D,2,TRUE),"")</f>
        <v>4.1666666666666664E-2</v>
      </c>
      <c r="H3" s="16">
        <f t="shared" ref="H3:H8" si="0">IFERROR(F3-G3,"")</f>
        <v>0.2916666666666673</v>
      </c>
      <c r="I3" s="4">
        <v>0</v>
      </c>
      <c r="J3" s="5">
        <v>0</v>
      </c>
      <c r="K3" s="14">
        <f>J3-I3</f>
        <v>0</v>
      </c>
      <c r="L3" s="15">
        <f>IFERROR(VLOOKUP(K3,Sayfa1!C:D,2,TRUE),"")</f>
        <v>0</v>
      </c>
      <c r="M3" s="16">
        <f t="shared" ref="M3:M8" si="1">IFERROR(K3-L3,"")</f>
        <v>0</v>
      </c>
      <c r="N3" s="4">
        <v>0.58333333333333304</v>
      </c>
      <c r="O3" s="5">
        <v>0.91666666666666696</v>
      </c>
      <c r="P3" s="14">
        <f>O3-N3</f>
        <v>0.33333333333333393</v>
      </c>
      <c r="Q3" s="15">
        <f>IFERROR(VLOOKUP(P3,Sayfa1!C:D,2,TRUE),"")</f>
        <v>4.1666666666666664E-2</v>
      </c>
      <c r="R3" s="16">
        <f t="shared" ref="R3:R8" si="2">IFERROR(P3-Q3,"")</f>
        <v>0.29166666666666724</v>
      </c>
      <c r="S3" s="4">
        <v>0.39583333333333298</v>
      </c>
      <c r="T3" s="5">
        <v>0.91666666666666696</v>
      </c>
      <c r="U3" s="14">
        <f>T3-S3</f>
        <v>0.52083333333333393</v>
      </c>
      <c r="V3" s="15">
        <f>IFERROR(VLOOKUP(U3,Sayfa1!C:D,2,TRUE),"")</f>
        <v>8.3333333333333329E-2</v>
      </c>
      <c r="W3" s="16">
        <f t="shared" ref="W3:W8" si="3">IFERROR(U3-V3,"")</f>
        <v>0.43750000000000061</v>
      </c>
      <c r="X3" s="4">
        <v>0.39583333333333298</v>
      </c>
      <c r="Y3" s="5">
        <v>0.75</v>
      </c>
      <c r="Z3" s="14">
        <f>Y3-X3</f>
        <v>0.35416666666666702</v>
      </c>
      <c r="AA3" s="15">
        <f>IFERROR(VLOOKUP(Z3,Sayfa1!C:D,2,TRUE),"")</f>
        <v>6.25E-2</v>
      </c>
      <c r="AB3" s="16">
        <f t="shared" ref="AB3:AB8" si="4">IFERROR(Z3-AA3,"")</f>
        <v>0.29166666666666702</v>
      </c>
      <c r="AC3" s="4">
        <v>0.58333333333333304</v>
      </c>
      <c r="AD3" s="5">
        <v>0.91666666666666696</v>
      </c>
      <c r="AE3" s="14">
        <f>AD3-AC3</f>
        <v>0.33333333333333393</v>
      </c>
      <c r="AF3" s="15">
        <f>IFERROR(VLOOKUP(AE3,Sayfa1!C:D,2,TRUE),"")</f>
        <v>4.1666666666666664E-2</v>
      </c>
      <c r="AG3" s="16">
        <f t="shared" ref="AG3:AG8" si="5">IFERROR(AE3-AF3,"")</f>
        <v>0.29166666666666724</v>
      </c>
      <c r="AH3" s="4">
        <v>0.60416666666666696</v>
      </c>
      <c r="AI3" s="5">
        <v>0.91666666666666696</v>
      </c>
      <c r="AJ3" s="14">
        <f>AI3-AH3</f>
        <v>0.3125</v>
      </c>
      <c r="AK3" s="15">
        <f>IFERROR(VLOOKUP(AJ3,Sayfa1!C:D,2,TRUE),"")</f>
        <v>4.1666666666666664E-2</v>
      </c>
      <c r="AL3" s="16">
        <f>IFERROR(AJ3-AK3,"")</f>
        <v>0.27083333333333331</v>
      </c>
      <c r="AM3" s="17">
        <f>IFERROR(H3+M3+R3+W3+AB3+AG3+AL3,"")</f>
        <v>1.8750000000000027</v>
      </c>
      <c r="AN3" s="18">
        <f>IFERROR(AM3-(Sayfa1!$I$1/24),"")</f>
        <v>2.6645352591003757E-15</v>
      </c>
      <c r="AO3" s="29"/>
    </row>
    <row r="4" spans="1:41" ht="48" customHeight="1" thickBot="1" x14ac:dyDescent="0.35">
      <c r="A4" s="22">
        <v>2</v>
      </c>
      <c r="B4" s="1" t="s">
        <v>33</v>
      </c>
      <c r="C4" s="2" t="s">
        <v>31</v>
      </c>
      <c r="D4" s="4">
        <v>0.39583333333333298</v>
      </c>
      <c r="E4" s="5">
        <v>0.72916666666666696</v>
      </c>
      <c r="F4" s="14">
        <f t="shared" ref="F4:F8" si="6">E4-D4</f>
        <v>0.33333333333333398</v>
      </c>
      <c r="G4" s="15">
        <f>IFERROR(VLOOKUP(F4,Sayfa1!C:D,2,TRUE),"")</f>
        <v>4.1666666666666664E-2</v>
      </c>
      <c r="H4" s="16">
        <f t="shared" si="0"/>
        <v>0.2916666666666673</v>
      </c>
      <c r="I4" s="4">
        <v>0</v>
      </c>
      <c r="J4" s="5">
        <v>0</v>
      </c>
      <c r="K4" s="14">
        <f t="shared" ref="K4:K8" si="7">J4-I4</f>
        <v>0</v>
      </c>
      <c r="L4" s="15">
        <f>IFERROR(VLOOKUP(K4,Sayfa1!C:D,2,TRUE),"")</f>
        <v>0</v>
      </c>
      <c r="M4" s="16">
        <f t="shared" si="1"/>
        <v>0</v>
      </c>
      <c r="N4" s="4">
        <v>0.58333333333333304</v>
      </c>
      <c r="O4" s="5">
        <v>0.91666666666666696</v>
      </c>
      <c r="P4" s="14">
        <f t="shared" ref="P4:P8" si="8">O4-N4</f>
        <v>0.33333333333333393</v>
      </c>
      <c r="Q4" s="15">
        <f>IFERROR(VLOOKUP(P4,Sayfa1!C:D,2,TRUE),"")</f>
        <v>4.1666666666666664E-2</v>
      </c>
      <c r="R4" s="16">
        <f t="shared" si="2"/>
        <v>0.29166666666666724</v>
      </c>
      <c r="S4" s="4">
        <v>0.39583333333333298</v>
      </c>
      <c r="T4" s="5">
        <v>0.91666666666666696</v>
      </c>
      <c r="U4" s="14">
        <f t="shared" ref="U4:U8" si="9">T4-S4</f>
        <v>0.52083333333333393</v>
      </c>
      <c r="V4" s="15">
        <f>IFERROR(VLOOKUP(U4,Sayfa1!C:D,2,TRUE),"")</f>
        <v>8.3333333333333329E-2</v>
      </c>
      <c r="W4" s="16">
        <f t="shared" si="3"/>
        <v>0.43750000000000061</v>
      </c>
      <c r="X4" s="4">
        <v>0.39583333333333298</v>
      </c>
      <c r="Y4" s="5">
        <v>0.75</v>
      </c>
      <c r="Z4" s="14">
        <f t="shared" ref="Z4:Z8" si="10">Y4-X4</f>
        <v>0.35416666666666702</v>
      </c>
      <c r="AA4" s="15">
        <f>IFERROR(VLOOKUP(Z4,Sayfa1!C:D,2,TRUE),"")</f>
        <v>6.25E-2</v>
      </c>
      <c r="AB4" s="16">
        <f t="shared" si="4"/>
        <v>0.29166666666666702</v>
      </c>
      <c r="AC4" s="4">
        <v>0.54166666666666696</v>
      </c>
      <c r="AD4" s="5">
        <v>0.91666666666666696</v>
      </c>
      <c r="AE4" s="14">
        <f t="shared" ref="AE4:AE8" si="11">AD4-AC4</f>
        <v>0.375</v>
      </c>
      <c r="AF4" s="15">
        <f>IFERROR(VLOOKUP(AE4,Sayfa1!C:D,2,TRUE),"")</f>
        <v>6.25E-2</v>
      </c>
      <c r="AG4" s="16">
        <f t="shared" si="5"/>
        <v>0.3125</v>
      </c>
      <c r="AH4" s="4">
        <v>0.39583333333333298</v>
      </c>
      <c r="AI4" s="5">
        <v>0.75</v>
      </c>
      <c r="AJ4" s="14">
        <f t="shared" ref="AJ4:AJ8" si="12">AI4-AH4</f>
        <v>0.35416666666666702</v>
      </c>
      <c r="AK4" s="15">
        <f>IFERROR(VLOOKUP(AJ4,Sayfa1!C:D,2,TRUE),"")</f>
        <v>6.25E-2</v>
      </c>
      <c r="AL4" s="16">
        <f t="shared" ref="AL4:AL8" si="13">IFERROR(AJ4-AK4,"")</f>
        <v>0.29166666666666702</v>
      </c>
      <c r="AM4" s="17">
        <f t="shared" ref="AM4:AM8" si="14">IFERROR(H4+M4+R4+W4+AB4+AG4+AL4,"")</f>
        <v>1.9166666666666692</v>
      </c>
      <c r="AN4" s="18">
        <f>IFERROR(AM4-(Sayfa1!$I$1/24),"")</f>
        <v>4.1666666666669183E-2</v>
      </c>
      <c r="AO4" s="29"/>
    </row>
    <row r="5" spans="1:41" ht="48" customHeight="1" thickBot="1" x14ac:dyDescent="0.35">
      <c r="A5" s="22">
        <v>3</v>
      </c>
      <c r="B5" s="1" t="s">
        <v>34</v>
      </c>
      <c r="C5" s="2" t="s">
        <v>13</v>
      </c>
      <c r="D5" s="4">
        <v>0.54166666666666696</v>
      </c>
      <c r="E5" s="5">
        <v>0.91666666666666696</v>
      </c>
      <c r="F5" s="14">
        <f t="shared" si="6"/>
        <v>0.375</v>
      </c>
      <c r="G5" s="15">
        <f>IFERROR(VLOOKUP(F5,Sayfa1!C:D,2,TRUE),"")</f>
        <v>6.25E-2</v>
      </c>
      <c r="H5" s="16">
        <f t="shared" si="0"/>
        <v>0.3125</v>
      </c>
      <c r="I5" s="4">
        <v>0.39583333333333298</v>
      </c>
      <c r="J5" s="5">
        <v>0.91666666666666696</v>
      </c>
      <c r="K5" s="14">
        <f t="shared" si="7"/>
        <v>0.52083333333333393</v>
      </c>
      <c r="L5" s="15">
        <f>IFERROR(VLOOKUP(K5,Sayfa1!C:D,2,TRUE),"")</f>
        <v>8.3333333333333329E-2</v>
      </c>
      <c r="M5" s="16">
        <f t="shared" si="1"/>
        <v>0.43750000000000061</v>
      </c>
      <c r="N5" s="4">
        <v>0.39583333333333298</v>
      </c>
      <c r="O5" s="5">
        <v>0.72916666666666696</v>
      </c>
      <c r="P5" s="14">
        <f t="shared" si="8"/>
        <v>0.33333333333333398</v>
      </c>
      <c r="Q5" s="15">
        <f>IFERROR(VLOOKUP(P5,Sayfa1!C:D,2,TRUE),"")</f>
        <v>4.1666666666666664E-2</v>
      </c>
      <c r="R5" s="16">
        <f t="shared" si="2"/>
        <v>0.2916666666666673</v>
      </c>
      <c r="S5" s="4">
        <v>0</v>
      </c>
      <c r="T5" s="5">
        <v>0</v>
      </c>
      <c r="U5" s="14">
        <f t="shared" si="9"/>
        <v>0</v>
      </c>
      <c r="V5" s="15">
        <f>IFERROR(VLOOKUP(U5,Sayfa1!C:D,2,TRUE),"")</f>
        <v>0</v>
      </c>
      <c r="W5" s="16">
        <f t="shared" si="3"/>
        <v>0</v>
      </c>
      <c r="X5" s="4">
        <v>0.58333333333333304</v>
      </c>
      <c r="Y5" s="5">
        <v>0.91666666666666696</v>
      </c>
      <c r="Z5" s="14">
        <f t="shared" si="10"/>
        <v>0.33333333333333393</v>
      </c>
      <c r="AA5" s="15">
        <f>IFERROR(VLOOKUP(Z5,Sayfa1!C:D,2,TRUE),"")</f>
        <v>4.1666666666666664E-2</v>
      </c>
      <c r="AB5" s="16">
        <f t="shared" si="4"/>
        <v>0.29166666666666724</v>
      </c>
      <c r="AC5" s="4">
        <v>0.39583333333333298</v>
      </c>
      <c r="AD5" s="5">
        <v>0.75</v>
      </c>
      <c r="AE5" s="14">
        <f t="shared" si="11"/>
        <v>0.35416666666666702</v>
      </c>
      <c r="AF5" s="15">
        <f>IFERROR(VLOOKUP(AE5,Sayfa1!C:D,2,TRUE),"")</f>
        <v>6.25E-2</v>
      </c>
      <c r="AG5" s="16">
        <f t="shared" si="5"/>
        <v>0.29166666666666702</v>
      </c>
      <c r="AH5" s="4">
        <v>0.54166666666666696</v>
      </c>
      <c r="AI5" s="5">
        <v>0.91666666666666696</v>
      </c>
      <c r="AJ5" s="14">
        <f t="shared" si="12"/>
        <v>0.375</v>
      </c>
      <c r="AK5" s="15">
        <f>IFERROR(VLOOKUP(AJ5,Sayfa1!C:D,2,TRUE),"")</f>
        <v>6.25E-2</v>
      </c>
      <c r="AL5" s="16">
        <f t="shared" si="13"/>
        <v>0.3125</v>
      </c>
      <c r="AM5" s="17">
        <f t="shared" si="14"/>
        <v>1.937500000000002</v>
      </c>
      <c r="AN5" s="18">
        <f>IFERROR(AM5-(Sayfa1!$I$1/24),"")</f>
        <v>6.2500000000001998E-2</v>
      </c>
      <c r="AO5" s="29"/>
    </row>
    <row r="6" spans="1:41" ht="48" customHeight="1" thickBot="1" x14ac:dyDescent="0.35">
      <c r="A6" s="22">
        <v>4</v>
      </c>
      <c r="B6" s="1" t="s">
        <v>35</v>
      </c>
      <c r="C6" s="2" t="s">
        <v>13</v>
      </c>
      <c r="D6" s="4"/>
      <c r="E6" s="5"/>
      <c r="F6" s="14">
        <f t="shared" si="6"/>
        <v>0</v>
      </c>
      <c r="G6" s="15">
        <f>IFERROR(VLOOKUP(F6,Sayfa1!C:D,2,TRUE),"")</f>
        <v>0</v>
      </c>
      <c r="H6" s="16">
        <f t="shared" si="0"/>
        <v>0</v>
      </c>
      <c r="I6" s="4">
        <v>0</v>
      </c>
      <c r="J6" s="5">
        <v>0</v>
      </c>
      <c r="K6" s="14">
        <f t="shared" si="7"/>
        <v>0</v>
      </c>
      <c r="L6" s="15">
        <f>IFERROR(VLOOKUP(K6,Sayfa1!C:D,2,TRUE),"")</f>
        <v>0</v>
      </c>
      <c r="M6" s="16">
        <f t="shared" si="1"/>
        <v>0</v>
      </c>
      <c r="N6" s="4">
        <v>0.625</v>
      </c>
      <c r="O6" s="5">
        <v>0.91666666666666696</v>
      </c>
      <c r="P6" s="14">
        <f t="shared" si="8"/>
        <v>0.29166666666666696</v>
      </c>
      <c r="Q6" s="15">
        <f>IFERROR(VLOOKUP(P6,Sayfa1!C:D,2,TRUE),"")</f>
        <v>4.1666666666666664E-2</v>
      </c>
      <c r="R6" s="16">
        <f t="shared" si="2"/>
        <v>0.25000000000000028</v>
      </c>
      <c r="S6" s="4">
        <v>0.39583333333333298</v>
      </c>
      <c r="T6" s="5">
        <v>0.91666666666666696</v>
      </c>
      <c r="U6" s="14">
        <f t="shared" si="9"/>
        <v>0.52083333333333393</v>
      </c>
      <c r="V6" s="15">
        <f>IFERROR(VLOOKUP(U6,Sayfa1!C:D,2,TRUE),"")</f>
        <v>8.3333333333333329E-2</v>
      </c>
      <c r="W6" s="16">
        <f t="shared" si="3"/>
        <v>0.43750000000000061</v>
      </c>
      <c r="X6" s="4">
        <v>0.58333333333333304</v>
      </c>
      <c r="Y6" s="5">
        <v>0.91666666666666696</v>
      </c>
      <c r="Z6" s="14">
        <f t="shared" si="10"/>
        <v>0.33333333333333393</v>
      </c>
      <c r="AA6" s="15">
        <f>IFERROR(VLOOKUP(Z6,Sayfa1!C:D,2,TRUE),"")</f>
        <v>4.1666666666666664E-2</v>
      </c>
      <c r="AB6" s="16">
        <f t="shared" si="4"/>
        <v>0.29166666666666724</v>
      </c>
      <c r="AC6" s="4">
        <v>0.58333333333333304</v>
      </c>
      <c r="AD6" s="5">
        <v>0.91666666666666696</v>
      </c>
      <c r="AE6" s="14">
        <f t="shared" si="11"/>
        <v>0.33333333333333393</v>
      </c>
      <c r="AF6" s="15">
        <f>IFERROR(VLOOKUP(AE6,Sayfa1!C:D,2,TRUE),"")</f>
        <v>4.1666666666666664E-2</v>
      </c>
      <c r="AG6" s="16">
        <f t="shared" si="5"/>
        <v>0.29166666666666724</v>
      </c>
      <c r="AH6" s="4">
        <v>0.39583333333333298</v>
      </c>
      <c r="AI6" s="5">
        <v>0.77083333333333304</v>
      </c>
      <c r="AJ6" s="14">
        <f t="shared" si="12"/>
        <v>0.37500000000000006</v>
      </c>
      <c r="AK6" s="15">
        <f>IFERROR(VLOOKUP(AJ6,Sayfa1!C:D,2,TRUE),"")</f>
        <v>6.25E-2</v>
      </c>
      <c r="AL6" s="16">
        <f t="shared" si="13"/>
        <v>0.31250000000000006</v>
      </c>
      <c r="AM6" s="17">
        <f t="shared" si="14"/>
        <v>1.5833333333333353</v>
      </c>
      <c r="AN6" s="18">
        <f>IFERROR(AM6-(Sayfa1!$I$1/24),"")</f>
        <v>-0.29166666666666474</v>
      </c>
      <c r="AO6" s="29"/>
    </row>
    <row r="7" spans="1:41" ht="48" customHeight="1" thickBot="1" x14ac:dyDescent="0.35">
      <c r="A7" s="22">
        <v>5</v>
      </c>
      <c r="B7" s="1" t="s">
        <v>36</v>
      </c>
      <c r="C7" s="2" t="s">
        <v>13</v>
      </c>
      <c r="D7" s="4">
        <v>0.58333333333333304</v>
      </c>
      <c r="E7" s="5">
        <v>0.91666666666666696</v>
      </c>
      <c r="F7" s="14">
        <f t="shared" si="6"/>
        <v>0.33333333333333393</v>
      </c>
      <c r="G7" s="15">
        <f>IFERROR(VLOOKUP(F7,Sayfa1!C:D,2,TRUE),"")</f>
        <v>4.1666666666666664E-2</v>
      </c>
      <c r="H7" s="16">
        <f t="shared" si="0"/>
        <v>0.29166666666666724</v>
      </c>
      <c r="I7" s="4">
        <v>0.39583333333333298</v>
      </c>
      <c r="J7" s="5">
        <v>0.72916666666666696</v>
      </c>
      <c r="K7" s="14">
        <f t="shared" si="7"/>
        <v>0.33333333333333398</v>
      </c>
      <c r="L7" s="15">
        <f>IFERROR(VLOOKUP(K7,Sayfa1!C:D,2,TRUE),"")</f>
        <v>4.1666666666666664E-2</v>
      </c>
      <c r="M7" s="16">
        <f t="shared" si="1"/>
        <v>0.2916666666666673</v>
      </c>
      <c r="N7" s="4">
        <v>0</v>
      </c>
      <c r="O7" s="5">
        <v>0</v>
      </c>
      <c r="P7" s="14">
        <f t="shared" si="8"/>
        <v>0</v>
      </c>
      <c r="Q7" s="15">
        <f>IFERROR(VLOOKUP(P7,Sayfa1!C:D,2,TRUE),"")</f>
        <v>0</v>
      </c>
      <c r="R7" s="16">
        <f t="shared" si="2"/>
        <v>0</v>
      </c>
      <c r="S7" s="4">
        <v>0.60416666666666696</v>
      </c>
      <c r="T7" s="5">
        <v>0.91666666666666696</v>
      </c>
      <c r="U7" s="14">
        <f t="shared" si="9"/>
        <v>0.3125</v>
      </c>
      <c r="V7" s="15">
        <f>IFERROR(VLOOKUP(U7,Sayfa1!C:D,2,TRUE),"")</f>
        <v>4.1666666666666664E-2</v>
      </c>
      <c r="W7" s="16">
        <f t="shared" si="3"/>
        <v>0.27083333333333331</v>
      </c>
      <c r="X7" s="4">
        <v>0.39583333333333298</v>
      </c>
      <c r="Y7" s="5">
        <v>0.91666666666666696</v>
      </c>
      <c r="Z7" s="14">
        <f t="shared" si="10"/>
        <v>0.52083333333333393</v>
      </c>
      <c r="AA7" s="15">
        <f>IFERROR(VLOOKUP(Z7,Sayfa1!C:D,2,TRUE),"")</f>
        <v>8.3333333333333329E-2</v>
      </c>
      <c r="AB7" s="16">
        <f t="shared" si="4"/>
        <v>0.43750000000000061</v>
      </c>
      <c r="AC7" s="4">
        <v>0.58333333333333304</v>
      </c>
      <c r="AD7" s="5">
        <v>0.91666666666666696</v>
      </c>
      <c r="AE7" s="14">
        <f t="shared" si="11"/>
        <v>0.33333333333333393</v>
      </c>
      <c r="AF7" s="15">
        <f>IFERROR(VLOOKUP(AE7,Sayfa1!C:D,2,TRUE),"")</f>
        <v>4.1666666666666664E-2</v>
      </c>
      <c r="AG7" s="16">
        <f t="shared" si="5"/>
        <v>0.29166666666666724</v>
      </c>
      <c r="AH7" s="4">
        <v>0.58333333333333304</v>
      </c>
      <c r="AI7" s="5">
        <v>0.91666666666666696</v>
      </c>
      <c r="AJ7" s="14">
        <f t="shared" si="12"/>
        <v>0.33333333333333393</v>
      </c>
      <c r="AK7" s="15">
        <f>IFERROR(VLOOKUP(AJ7,Sayfa1!C:D,2,TRUE),"")</f>
        <v>4.1666666666666664E-2</v>
      </c>
      <c r="AL7" s="16">
        <f t="shared" si="13"/>
        <v>0.29166666666666724</v>
      </c>
      <c r="AM7" s="17">
        <f t="shared" si="14"/>
        <v>1.8750000000000029</v>
      </c>
      <c r="AN7" s="18">
        <f>IFERROR(AM7-(Sayfa1!$I$1/24),"")</f>
        <v>2.886579864025407E-15</v>
      </c>
      <c r="AO7" s="29"/>
    </row>
    <row r="8" spans="1:41" ht="48" customHeight="1" thickBot="1" x14ac:dyDescent="0.35">
      <c r="A8" s="22">
        <v>6</v>
      </c>
      <c r="B8" s="1" t="s">
        <v>37</v>
      </c>
      <c r="C8" s="2" t="s">
        <v>13</v>
      </c>
      <c r="D8" s="4">
        <v>0</v>
      </c>
      <c r="E8" s="5">
        <v>0</v>
      </c>
      <c r="F8" s="14">
        <f t="shared" si="6"/>
        <v>0</v>
      </c>
      <c r="G8" s="15">
        <f>IFERROR(VLOOKUP(F8,Sayfa1!C:D,2,TRUE),"")</f>
        <v>0</v>
      </c>
      <c r="H8" s="16">
        <f t="shared" si="0"/>
        <v>0</v>
      </c>
      <c r="I8" s="4">
        <v>0.58333333333333304</v>
      </c>
      <c r="J8" s="5">
        <v>0.91666666666666696</v>
      </c>
      <c r="K8" s="14">
        <f t="shared" si="7"/>
        <v>0.33333333333333393</v>
      </c>
      <c r="L8" s="15">
        <f>IFERROR(VLOOKUP(K8,Sayfa1!C:D,2,TRUE),"")</f>
        <v>4.1666666666666664E-2</v>
      </c>
      <c r="M8" s="16">
        <f t="shared" si="1"/>
        <v>0.29166666666666724</v>
      </c>
      <c r="N8" s="4">
        <v>0.39583333333333298</v>
      </c>
      <c r="O8" s="5">
        <v>0.91666666666666696</v>
      </c>
      <c r="P8" s="14">
        <f t="shared" si="8"/>
        <v>0.52083333333333393</v>
      </c>
      <c r="Q8" s="15">
        <f>IFERROR(VLOOKUP(P8,Sayfa1!C:D,2,TRUE),"")</f>
        <v>8.3333333333333329E-2</v>
      </c>
      <c r="R8" s="16">
        <f t="shared" si="2"/>
        <v>0.43750000000000061</v>
      </c>
      <c r="S8" s="4">
        <v>0.5</v>
      </c>
      <c r="T8" s="5">
        <v>0.83333333333333304</v>
      </c>
      <c r="U8" s="14">
        <f t="shared" si="9"/>
        <v>0.33333333333333304</v>
      </c>
      <c r="V8" s="15">
        <f>IFERROR(VLOOKUP(U8,Sayfa1!C:D,2,TRUE),"")</f>
        <v>4.1666666666666664E-2</v>
      </c>
      <c r="W8" s="16">
        <f t="shared" si="3"/>
        <v>0.29166666666666635</v>
      </c>
      <c r="X8" s="4">
        <v>0.39583333333333298</v>
      </c>
      <c r="Y8" s="5">
        <v>0.70833333333333304</v>
      </c>
      <c r="Z8" s="14">
        <f t="shared" si="10"/>
        <v>0.31250000000000006</v>
      </c>
      <c r="AA8" s="15">
        <f>IFERROR(VLOOKUP(Z8,Sayfa1!C:D,2,TRUE),"")</f>
        <v>4.1666666666666664E-2</v>
      </c>
      <c r="AB8" s="16">
        <f t="shared" si="4"/>
        <v>0.27083333333333337</v>
      </c>
      <c r="AC8" s="4">
        <v>0.39583333333333298</v>
      </c>
      <c r="AD8" s="5">
        <v>0.72916666666666696</v>
      </c>
      <c r="AE8" s="14">
        <f t="shared" si="11"/>
        <v>0.33333333333333398</v>
      </c>
      <c r="AF8" s="15">
        <f>IFERROR(VLOOKUP(AE8,Sayfa1!C:D,2,TRUE),"")</f>
        <v>4.1666666666666664E-2</v>
      </c>
      <c r="AG8" s="16">
        <f t="shared" si="5"/>
        <v>0.2916666666666673</v>
      </c>
      <c r="AH8" s="4">
        <v>0.39583333333333298</v>
      </c>
      <c r="AI8" s="5">
        <v>0.75</v>
      </c>
      <c r="AJ8" s="14">
        <f t="shared" si="12"/>
        <v>0.35416666666666702</v>
      </c>
      <c r="AK8" s="15">
        <f>IFERROR(VLOOKUP(AJ8,Sayfa1!C:D,2,TRUE),"")</f>
        <v>6.25E-2</v>
      </c>
      <c r="AL8" s="16">
        <f t="shared" si="13"/>
        <v>0.29166666666666702</v>
      </c>
      <c r="AM8" s="17">
        <f t="shared" si="14"/>
        <v>1.8750000000000018</v>
      </c>
      <c r="AN8" s="18">
        <f>IFERROR(AM8-(Sayfa1!$I$1/24),"")</f>
        <v>1.7763568394002505E-15</v>
      </c>
      <c r="AO8" s="29"/>
    </row>
    <row r="9" spans="1:41" ht="48" customHeight="1" thickBot="1" x14ac:dyDescent="0.35">
      <c r="A9" s="22">
        <v>7</v>
      </c>
      <c r="B9" s="1" t="s">
        <v>38</v>
      </c>
      <c r="C9" s="2" t="s">
        <v>13</v>
      </c>
      <c r="D9" s="4">
        <v>0.39583333333333298</v>
      </c>
      <c r="E9" s="5">
        <v>0.72916666666666696</v>
      </c>
      <c r="F9" s="14">
        <f t="shared" ref="F9:F14" si="15">E9-D9</f>
        <v>0.33333333333333398</v>
      </c>
      <c r="G9" s="15">
        <f>IFERROR(VLOOKUP(F9,Sayfa1!C:D,2,TRUE),"")</f>
        <v>4.1666666666666664E-2</v>
      </c>
      <c r="H9" s="16">
        <f t="shared" ref="H9:H14" si="16">IFERROR(F9-G9,"")</f>
        <v>0.2916666666666673</v>
      </c>
      <c r="I9" s="4">
        <v>0.39583333333333298</v>
      </c>
      <c r="J9" s="5">
        <v>0.91666666666666696</v>
      </c>
      <c r="K9" s="14">
        <f t="shared" ref="K9:K14" si="17">J9-I9</f>
        <v>0.52083333333333393</v>
      </c>
      <c r="L9" s="15">
        <f>IFERROR(VLOOKUP(K9,Sayfa1!C:D,2,TRUE),"")</f>
        <v>8.3333333333333329E-2</v>
      </c>
      <c r="M9" s="16">
        <f t="shared" ref="M9:M14" si="18">IFERROR(K9-L9,"")</f>
        <v>0.43750000000000061</v>
      </c>
      <c r="N9" s="4">
        <v>0.39583333333333298</v>
      </c>
      <c r="O9" s="5">
        <v>0.70833333333333304</v>
      </c>
      <c r="P9" s="14">
        <f t="shared" ref="P9:P14" si="19">O9-N9</f>
        <v>0.31250000000000006</v>
      </c>
      <c r="Q9" s="15">
        <f>IFERROR(VLOOKUP(P9,Sayfa1!C:D,2,TRUE),"")</f>
        <v>4.1666666666666664E-2</v>
      </c>
      <c r="R9" s="16">
        <f t="shared" ref="R9:R14" si="20">IFERROR(P9-Q9,"")</f>
        <v>0.27083333333333337</v>
      </c>
      <c r="S9" s="4">
        <v>0</v>
      </c>
      <c r="T9" s="5">
        <v>0</v>
      </c>
      <c r="U9" s="14">
        <f t="shared" ref="U9:U14" si="21">T9-S9</f>
        <v>0</v>
      </c>
      <c r="V9" s="15">
        <f>IFERROR(VLOOKUP(U9,Sayfa1!C:D,2,TRUE),"")</f>
        <v>0</v>
      </c>
      <c r="W9" s="16">
        <f t="shared" ref="W9:W14" si="22">IFERROR(U9-V9,"")</f>
        <v>0</v>
      </c>
      <c r="X9" s="4">
        <v>0.58333333333333304</v>
      </c>
      <c r="Y9" s="5">
        <v>0.91666666666666696</v>
      </c>
      <c r="Z9" s="14">
        <f t="shared" ref="Z9:Z14" si="23">Y9-X9</f>
        <v>0.33333333333333393</v>
      </c>
      <c r="AA9" s="15">
        <f>IFERROR(VLOOKUP(Z9,Sayfa1!C:D,2,TRUE),"")</f>
        <v>4.1666666666666664E-2</v>
      </c>
      <c r="AB9" s="16">
        <f t="shared" ref="AB9:AB14" si="24">IFERROR(Z9-AA9,"")</f>
        <v>0.29166666666666724</v>
      </c>
      <c r="AC9" s="4">
        <v>0.58333333333333304</v>
      </c>
      <c r="AD9" s="5">
        <v>0.91666666666666696</v>
      </c>
      <c r="AE9" s="14">
        <f t="shared" ref="AE9:AE14" si="25">AD9-AC9</f>
        <v>0.33333333333333393</v>
      </c>
      <c r="AF9" s="15">
        <f>IFERROR(VLOOKUP(AE9,Sayfa1!C:D,2,TRUE),"")</f>
        <v>4.1666666666666664E-2</v>
      </c>
      <c r="AG9" s="16">
        <f t="shared" ref="AG9:AG14" si="26">IFERROR(AE9-AF9,"")</f>
        <v>0.29166666666666724</v>
      </c>
      <c r="AH9" s="4">
        <v>0.5</v>
      </c>
      <c r="AI9" s="5">
        <v>0.83333333333333304</v>
      </c>
      <c r="AJ9" s="14">
        <f t="shared" ref="AJ9:AJ14" si="27">AI9-AH9</f>
        <v>0.33333333333333304</v>
      </c>
      <c r="AK9" s="15">
        <f>IFERROR(VLOOKUP(AJ9,Sayfa1!C:D,2,TRUE),"")</f>
        <v>4.1666666666666664E-2</v>
      </c>
      <c r="AL9" s="16">
        <f t="shared" ref="AL9:AL14" si="28">IFERROR(AJ9-AK9,"")</f>
        <v>0.29166666666666635</v>
      </c>
      <c r="AM9" s="17">
        <f t="shared" ref="AM9:AM14" si="29">IFERROR(H9+M9+R9+W9+AB9+AG9+AL9,"")</f>
        <v>1.875000000000002</v>
      </c>
      <c r="AN9" s="18">
        <f>IFERROR(AM9-(Sayfa1!$I$1/24),"")</f>
        <v>1.9984014443252818E-15</v>
      </c>
      <c r="AO9" s="29"/>
    </row>
    <row r="10" spans="1:41" ht="48" customHeight="1" thickBot="1" x14ac:dyDescent="0.35">
      <c r="A10" s="22">
        <v>8</v>
      </c>
      <c r="B10" s="1" t="s">
        <v>39</v>
      </c>
      <c r="C10" s="2" t="s">
        <v>13</v>
      </c>
      <c r="D10" s="4">
        <v>0.39583333333333298</v>
      </c>
      <c r="E10" s="5">
        <v>0.91666666666666696</v>
      </c>
      <c r="F10" s="14">
        <f t="shared" si="15"/>
        <v>0.52083333333333393</v>
      </c>
      <c r="G10" s="15">
        <f>IFERROR(VLOOKUP(F10,Sayfa1!C:D,2,TRUE),"")</f>
        <v>8.3333333333333329E-2</v>
      </c>
      <c r="H10" s="16">
        <f t="shared" si="16"/>
        <v>0.43750000000000061</v>
      </c>
      <c r="I10" s="4">
        <v>0.58333333333333304</v>
      </c>
      <c r="J10" s="5">
        <v>0.91666666666666696</v>
      </c>
      <c r="K10" s="14">
        <f t="shared" si="17"/>
        <v>0.33333333333333393</v>
      </c>
      <c r="L10" s="15">
        <f>IFERROR(VLOOKUP(K10,Sayfa1!C:D,2,TRUE),"")</f>
        <v>4.1666666666666664E-2</v>
      </c>
      <c r="M10" s="16">
        <f t="shared" si="18"/>
        <v>0.29166666666666724</v>
      </c>
      <c r="N10" s="4">
        <v>0.58333333333333304</v>
      </c>
      <c r="O10" s="5">
        <v>0.91666666666666696</v>
      </c>
      <c r="P10" s="14">
        <f t="shared" si="19"/>
        <v>0.33333333333333393</v>
      </c>
      <c r="Q10" s="15">
        <f>IFERROR(VLOOKUP(P10,Sayfa1!C:D,2,TRUE),"")</f>
        <v>4.1666666666666664E-2</v>
      </c>
      <c r="R10" s="16">
        <f t="shared" si="20"/>
        <v>0.29166666666666724</v>
      </c>
      <c r="S10" s="4">
        <v>0.39583333333333298</v>
      </c>
      <c r="T10" s="5">
        <v>0.70833333333333304</v>
      </c>
      <c r="U10" s="14">
        <f t="shared" si="21"/>
        <v>0.31250000000000006</v>
      </c>
      <c r="V10" s="15">
        <f>IFERROR(VLOOKUP(U10,Sayfa1!C:D,2,TRUE),"")</f>
        <v>4.1666666666666664E-2</v>
      </c>
      <c r="W10" s="16">
        <f t="shared" si="22"/>
        <v>0.27083333333333337</v>
      </c>
      <c r="X10" s="4">
        <v>0</v>
      </c>
      <c r="Y10" s="5">
        <v>0</v>
      </c>
      <c r="Z10" s="14">
        <f t="shared" si="23"/>
        <v>0</v>
      </c>
      <c r="AA10" s="15">
        <f>IFERROR(VLOOKUP(Z10,Sayfa1!C:D,2,TRUE),"")</f>
        <v>0</v>
      </c>
      <c r="AB10" s="16">
        <f t="shared" si="24"/>
        <v>0</v>
      </c>
      <c r="AC10" s="4">
        <v>0.5</v>
      </c>
      <c r="AD10" s="5">
        <v>0.83333333333333304</v>
      </c>
      <c r="AE10" s="14">
        <f t="shared" si="25"/>
        <v>0.33333333333333304</v>
      </c>
      <c r="AF10" s="15">
        <f>IFERROR(VLOOKUP(AE10,Sayfa1!C:D,2,TRUE),"")</f>
        <v>4.1666666666666664E-2</v>
      </c>
      <c r="AG10" s="16">
        <f t="shared" si="26"/>
        <v>0.29166666666666635</v>
      </c>
      <c r="AH10" s="4">
        <v>0.58333333333333304</v>
      </c>
      <c r="AI10" s="5">
        <v>0.91666666666666696</v>
      </c>
      <c r="AJ10" s="14">
        <f t="shared" si="27"/>
        <v>0.33333333333333393</v>
      </c>
      <c r="AK10" s="15">
        <f>IFERROR(VLOOKUP(AJ10,Sayfa1!C:D,2,TRUE),"")</f>
        <v>4.1666666666666664E-2</v>
      </c>
      <c r="AL10" s="16">
        <f t="shared" si="28"/>
        <v>0.29166666666666724</v>
      </c>
      <c r="AM10" s="17">
        <f t="shared" si="29"/>
        <v>1.8750000000000018</v>
      </c>
      <c r="AN10" s="18">
        <f>IFERROR(AM10-(Sayfa1!$I$1/24),"")</f>
        <v>1.7763568394002505E-15</v>
      </c>
      <c r="AO10" s="29"/>
    </row>
    <row r="11" spans="1:41" ht="48" customHeight="1" thickBot="1" x14ac:dyDescent="0.35">
      <c r="A11" s="22">
        <v>9</v>
      </c>
      <c r="B11" s="1"/>
      <c r="C11" s="2" t="s">
        <v>13</v>
      </c>
      <c r="D11" s="4"/>
      <c r="E11" s="5"/>
      <c r="F11" s="14">
        <f t="shared" si="15"/>
        <v>0</v>
      </c>
      <c r="G11" s="15">
        <f>IFERROR(VLOOKUP(F11,Sayfa1!C:D,2,TRUE),"")</f>
        <v>0</v>
      </c>
      <c r="H11" s="16">
        <f t="shared" si="16"/>
        <v>0</v>
      </c>
      <c r="I11" s="4"/>
      <c r="J11" s="5"/>
      <c r="K11" s="14">
        <f t="shared" si="17"/>
        <v>0</v>
      </c>
      <c r="L11" s="15">
        <f>IFERROR(VLOOKUP(K11,Sayfa1!C:D,2,TRUE),"")</f>
        <v>0</v>
      </c>
      <c r="M11" s="16">
        <f t="shared" si="18"/>
        <v>0</v>
      </c>
      <c r="N11" s="4"/>
      <c r="O11" s="5"/>
      <c r="P11" s="14">
        <f t="shared" si="19"/>
        <v>0</v>
      </c>
      <c r="Q11" s="15">
        <f>IFERROR(VLOOKUP(P11,Sayfa1!C:D,2,TRUE),"")</f>
        <v>0</v>
      </c>
      <c r="R11" s="16">
        <f t="shared" si="20"/>
        <v>0</v>
      </c>
      <c r="S11" s="4"/>
      <c r="T11" s="5"/>
      <c r="U11" s="14">
        <f t="shared" si="21"/>
        <v>0</v>
      </c>
      <c r="V11" s="15">
        <f>IFERROR(VLOOKUP(U11,Sayfa1!C:D,2,TRUE),"")</f>
        <v>0</v>
      </c>
      <c r="W11" s="16">
        <f t="shared" si="22"/>
        <v>0</v>
      </c>
      <c r="X11" s="4"/>
      <c r="Y11" s="5"/>
      <c r="Z11" s="14">
        <f t="shared" si="23"/>
        <v>0</v>
      </c>
      <c r="AA11" s="15">
        <f>IFERROR(VLOOKUP(Z11,Sayfa1!C:D,2,TRUE),"")</f>
        <v>0</v>
      </c>
      <c r="AB11" s="16">
        <f t="shared" si="24"/>
        <v>0</v>
      </c>
      <c r="AC11" s="4"/>
      <c r="AD11" s="5"/>
      <c r="AE11" s="14">
        <f t="shared" si="25"/>
        <v>0</v>
      </c>
      <c r="AF11" s="15">
        <f>IFERROR(VLOOKUP(AE11,Sayfa1!C:D,2,TRUE),"")</f>
        <v>0</v>
      </c>
      <c r="AG11" s="16">
        <f t="shared" si="26"/>
        <v>0</v>
      </c>
      <c r="AH11" s="4"/>
      <c r="AI11" s="5"/>
      <c r="AJ11" s="14">
        <f t="shared" si="27"/>
        <v>0</v>
      </c>
      <c r="AK11" s="15">
        <f>IFERROR(VLOOKUP(AJ11,Sayfa1!C:D,2,TRUE),"")</f>
        <v>0</v>
      </c>
      <c r="AL11" s="16">
        <f t="shared" si="28"/>
        <v>0</v>
      </c>
      <c r="AM11" s="17">
        <f t="shared" si="29"/>
        <v>0</v>
      </c>
      <c r="AN11" s="18">
        <f>IFERROR(AM11-(Sayfa1!$I$1/24),"")</f>
        <v>-1.875</v>
      </c>
      <c r="AO11" s="29"/>
    </row>
    <row r="12" spans="1:41" ht="48" customHeight="1" thickBot="1" x14ac:dyDescent="0.35">
      <c r="A12" s="22">
        <v>10</v>
      </c>
      <c r="B12" s="1"/>
      <c r="C12" s="2" t="s">
        <v>13</v>
      </c>
      <c r="D12" s="4"/>
      <c r="E12" s="5"/>
      <c r="F12" s="14">
        <f t="shared" si="15"/>
        <v>0</v>
      </c>
      <c r="G12" s="15">
        <f>IFERROR(VLOOKUP(F12,Sayfa1!C:D,2,TRUE),"")</f>
        <v>0</v>
      </c>
      <c r="H12" s="16">
        <f t="shared" si="16"/>
        <v>0</v>
      </c>
      <c r="I12" s="4"/>
      <c r="J12" s="5"/>
      <c r="K12" s="14">
        <f t="shared" si="17"/>
        <v>0</v>
      </c>
      <c r="L12" s="15">
        <f>IFERROR(VLOOKUP(K12,Sayfa1!C:D,2,TRUE),"")</f>
        <v>0</v>
      </c>
      <c r="M12" s="16">
        <f t="shared" si="18"/>
        <v>0</v>
      </c>
      <c r="N12" s="4"/>
      <c r="O12" s="5"/>
      <c r="P12" s="14">
        <f t="shared" si="19"/>
        <v>0</v>
      </c>
      <c r="Q12" s="15">
        <f>IFERROR(VLOOKUP(P12,Sayfa1!C:D,2,TRUE),"")</f>
        <v>0</v>
      </c>
      <c r="R12" s="16">
        <f t="shared" si="20"/>
        <v>0</v>
      </c>
      <c r="S12" s="4"/>
      <c r="T12" s="5"/>
      <c r="U12" s="14">
        <f t="shared" si="21"/>
        <v>0</v>
      </c>
      <c r="V12" s="15">
        <f>IFERROR(VLOOKUP(U12,Sayfa1!C:D,2,TRUE),"")</f>
        <v>0</v>
      </c>
      <c r="W12" s="16">
        <f t="shared" si="22"/>
        <v>0</v>
      </c>
      <c r="X12" s="4"/>
      <c r="Y12" s="5"/>
      <c r="Z12" s="14">
        <f t="shared" si="23"/>
        <v>0</v>
      </c>
      <c r="AA12" s="15">
        <f>IFERROR(VLOOKUP(Z12,Sayfa1!C:D,2,TRUE),"")</f>
        <v>0</v>
      </c>
      <c r="AB12" s="16">
        <f t="shared" si="24"/>
        <v>0</v>
      </c>
      <c r="AC12" s="4"/>
      <c r="AD12" s="5"/>
      <c r="AE12" s="14">
        <f t="shared" si="25"/>
        <v>0</v>
      </c>
      <c r="AF12" s="15">
        <f>IFERROR(VLOOKUP(AE12,Sayfa1!C:D,2,TRUE),"")</f>
        <v>0</v>
      </c>
      <c r="AG12" s="16">
        <f t="shared" si="26"/>
        <v>0</v>
      </c>
      <c r="AH12" s="4"/>
      <c r="AI12" s="5"/>
      <c r="AJ12" s="14">
        <f t="shared" si="27"/>
        <v>0</v>
      </c>
      <c r="AK12" s="15">
        <f>IFERROR(VLOOKUP(AJ12,Sayfa1!C:D,2,TRUE),"")</f>
        <v>0</v>
      </c>
      <c r="AL12" s="16">
        <f t="shared" si="28"/>
        <v>0</v>
      </c>
      <c r="AM12" s="17">
        <f t="shared" si="29"/>
        <v>0</v>
      </c>
      <c r="AN12" s="18">
        <f>IFERROR(AM12-(Sayfa1!$I$1/24),"")</f>
        <v>-1.875</v>
      </c>
      <c r="AO12" s="29"/>
    </row>
    <row r="13" spans="1:41" ht="48" customHeight="1" thickBot="1" x14ac:dyDescent="0.35">
      <c r="A13" s="22">
        <v>11</v>
      </c>
      <c r="B13" s="1"/>
      <c r="C13" s="2" t="s">
        <v>13</v>
      </c>
      <c r="D13" s="4"/>
      <c r="E13" s="5"/>
      <c r="F13" s="14">
        <f t="shared" si="15"/>
        <v>0</v>
      </c>
      <c r="G13" s="15">
        <f>IFERROR(VLOOKUP(F13,Sayfa1!C:D,2,TRUE),"")</f>
        <v>0</v>
      </c>
      <c r="H13" s="16">
        <f t="shared" si="16"/>
        <v>0</v>
      </c>
      <c r="I13" s="4"/>
      <c r="J13" s="5"/>
      <c r="K13" s="14">
        <f t="shared" si="17"/>
        <v>0</v>
      </c>
      <c r="L13" s="15">
        <f>IFERROR(VLOOKUP(K13,Sayfa1!C:D,2,TRUE),"")</f>
        <v>0</v>
      </c>
      <c r="M13" s="16">
        <f t="shared" si="18"/>
        <v>0</v>
      </c>
      <c r="N13" s="4"/>
      <c r="O13" s="5"/>
      <c r="P13" s="14">
        <f t="shared" si="19"/>
        <v>0</v>
      </c>
      <c r="Q13" s="15">
        <f>IFERROR(VLOOKUP(P13,Sayfa1!C:D,2,TRUE),"")</f>
        <v>0</v>
      </c>
      <c r="R13" s="16">
        <f t="shared" si="20"/>
        <v>0</v>
      </c>
      <c r="S13" s="4"/>
      <c r="T13" s="5"/>
      <c r="U13" s="14">
        <f t="shared" si="21"/>
        <v>0</v>
      </c>
      <c r="V13" s="15">
        <f>IFERROR(VLOOKUP(U13,Sayfa1!C:D,2,TRUE),"")</f>
        <v>0</v>
      </c>
      <c r="W13" s="16">
        <f t="shared" si="22"/>
        <v>0</v>
      </c>
      <c r="X13" s="4"/>
      <c r="Y13" s="5"/>
      <c r="Z13" s="14">
        <f t="shared" si="23"/>
        <v>0</v>
      </c>
      <c r="AA13" s="15">
        <f>IFERROR(VLOOKUP(Z13,Sayfa1!C:D,2,TRUE),"")</f>
        <v>0</v>
      </c>
      <c r="AB13" s="16">
        <f t="shared" si="24"/>
        <v>0</v>
      </c>
      <c r="AC13" s="4"/>
      <c r="AD13" s="5"/>
      <c r="AE13" s="14">
        <f t="shared" si="25"/>
        <v>0</v>
      </c>
      <c r="AF13" s="15">
        <f>IFERROR(VLOOKUP(AE13,Sayfa1!C:D,2,TRUE),"")</f>
        <v>0</v>
      </c>
      <c r="AG13" s="16">
        <f t="shared" si="26"/>
        <v>0</v>
      </c>
      <c r="AH13" s="4"/>
      <c r="AI13" s="5"/>
      <c r="AJ13" s="14">
        <f t="shared" si="27"/>
        <v>0</v>
      </c>
      <c r="AK13" s="15">
        <f>IFERROR(VLOOKUP(AJ13,Sayfa1!C:D,2,TRUE),"")</f>
        <v>0</v>
      </c>
      <c r="AL13" s="16">
        <f t="shared" si="28"/>
        <v>0</v>
      </c>
      <c r="AM13" s="17">
        <f t="shared" si="29"/>
        <v>0</v>
      </c>
      <c r="AN13" s="18">
        <f>IFERROR(AM13-(Sayfa1!$I$1/24),"")</f>
        <v>-1.875</v>
      </c>
      <c r="AO13" s="29"/>
    </row>
    <row r="14" spans="1:41" ht="48" customHeight="1" thickBot="1" x14ac:dyDescent="0.35">
      <c r="A14" s="23">
        <v>12</v>
      </c>
      <c r="B14" s="24"/>
      <c r="C14" s="2" t="s">
        <v>13</v>
      </c>
      <c r="D14" s="4"/>
      <c r="E14" s="5"/>
      <c r="F14" s="14">
        <f t="shared" si="15"/>
        <v>0</v>
      </c>
      <c r="G14" s="15">
        <f>IFERROR(VLOOKUP(F14,Sayfa1!C:D,2,TRUE),"")</f>
        <v>0</v>
      </c>
      <c r="H14" s="16">
        <f t="shared" si="16"/>
        <v>0</v>
      </c>
      <c r="I14" s="4"/>
      <c r="J14" s="5"/>
      <c r="K14" s="14">
        <f t="shared" si="17"/>
        <v>0</v>
      </c>
      <c r="L14" s="15">
        <f>IFERROR(VLOOKUP(K14,Sayfa1!C:D,2,TRUE),"")</f>
        <v>0</v>
      </c>
      <c r="M14" s="16">
        <f t="shared" si="18"/>
        <v>0</v>
      </c>
      <c r="N14" s="4"/>
      <c r="O14" s="5"/>
      <c r="P14" s="14">
        <f t="shared" si="19"/>
        <v>0</v>
      </c>
      <c r="Q14" s="15">
        <f>IFERROR(VLOOKUP(P14,Sayfa1!C:D,2,TRUE),"")</f>
        <v>0</v>
      </c>
      <c r="R14" s="16">
        <f t="shared" si="20"/>
        <v>0</v>
      </c>
      <c r="S14" s="4"/>
      <c r="T14" s="5"/>
      <c r="U14" s="14">
        <f t="shared" si="21"/>
        <v>0</v>
      </c>
      <c r="V14" s="15">
        <f>IFERROR(VLOOKUP(U14,Sayfa1!C:D,2,TRUE),"")</f>
        <v>0</v>
      </c>
      <c r="W14" s="16">
        <f t="shared" si="22"/>
        <v>0</v>
      </c>
      <c r="X14" s="4"/>
      <c r="Y14" s="5"/>
      <c r="Z14" s="14">
        <f t="shared" si="23"/>
        <v>0</v>
      </c>
      <c r="AA14" s="15">
        <f>IFERROR(VLOOKUP(Z14,Sayfa1!C:D,2,TRUE),"")</f>
        <v>0</v>
      </c>
      <c r="AB14" s="16">
        <f t="shared" si="24"/>
        <v>0</v>
      </c>
      <c r="AC14" s="4"/>
      <c r="AD14" s="5"/>
      <c r="AE14" s="14">
        <f t="shared" si="25"/>
        <v>0</v>
      </c>
      <c r="AF14" s="15">
        <f>IFERROR(VLOOKUP(AE14,Sayfa1!C:D,2,TRUE),"")</f>
        <v>0</v>
      </c>
      <c r="AG14" s="16">
        <f t="shared" si="26"/>
        <v>0</v>
      </c>
      <c r="AH14" s="4"/>
      <c r="AI14" s="5"/>
      <c r="AJ14" s="14">
        <f t="shared" si="27"/>
        <v>0</v>
      </c>
      <c r="AK14" s="15">
        <f>IFERROR(VLOOKUP(AJ14,Sayfa1!C:D,2,TRUE),"")</f>
        <v>0</v>
      </c>
      <c r="AL14" s="16">
        <f t="shared" si="28"/>
        <v>0</v>
      </c>
      <c r="AM14" s="17">
        <f t="shared" si="29"/>
        <v>0</v>
      </c>
      <c r="AN14" s="18">
        <f>IFERROR(AM14-(Sayfa1!$I$1/24),"")</f>
        <v>-1.875</v>
      </c>
      <c r="AO14" s="29"/>
    </row>
    <row r="15" spans="1:41" ht="15" thickTop="1" x14ac:dyDescent="0.3"/>
    <row r="19" spans="1:25" ht="15" thickBot="1" x14ac:dyDescent="0.35"/>
    <row r="20" spans="1:25" ht="55.05" customHeight="1" thickTop="1" thickBot="1" x14ac:dyDescent="0.35">
      <c r="A20" s="25" t="s">
        <v>0</v>
      </c>
      <c r="B20" s="28" t="s">
        <v>4</v>
      </c>
      <c r="C20" s="40" t="s">
        <v>18</v>
      </c>
      <c r="D20" s="40"/>
      <c r="E20" s="40" t="s">
        <v>15</v>
      </c>
      <c r="F20" s="40"/>
      <c r="G20" s="40" t="s">
        <v>16</v>
      </c>
      <c r="H20" s="40"/>
      <c r="I20" s="40" t="s">
        <v>17</v>
      </c>
      <c r="J20" s="41"/>
      <c r="L20" s="42" t="s">
        <v>20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4"/>
    </row>
    <row r="21" spans="1:25" ht="48" customHeight="1" thickBot="1" x14ac:dyDescent="0.35">
      <c r="A21" s="22">
        <v>1</v>
      </c>
      <c r="B21" s="26" t="s">
        <v>32</v>
      </c>
      <c r="C21" s="36" t="s">
        <v>42</v>
      </c>
      <c r="D21" s="36"/>
      <c r="E21" s="36">
        <v>0</v>
      </c>
      <c r="F21" s="36"/>
      <c r="G21" s="36">
        <v>0</v>
      </c>
      <c r="H21" s="36"/>
      <c r="I21" s="36">
        <v>45</v>
      </c>
      <c r="J21" s="37"/>
      <c r="L21" s="22">
        <v>1</v>
      </c>
      <c r="M21" s="38" t="s">
        <v>21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9"/>
    </row>
    <row r="22" spans="1:25" ht="48" customHeight="1" thickBot="1" x14ac:dyDescent="0.35">
      <c r="A22" s="22">
        <v>2</v>
      </c>
      <c r="B22" s="26" t="s">
        <v>40</v>
      </c>
      <c r="C22" s="36">
        <v>-9</v>
      </c>
      <c r="D22" s="36"/>
      <c r="E22" s="36">
        <v>1</v>
      </c>
      <c r="F22" s="36"/>
      <c r="G22" s="36">
        <v>0</v>
      </c>
      <c r="H22" s="36"/>
      <c r="I22" s="36">
        <v>-4</v>
      </c>
      <c r="J22" s="37"/>
      <c r="L22" s="22">
        <v>2</v>
      </c>
      <c r="M22" s="38" t="s">
        <v>22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9"/>
    </row>
    <row r="23" spans="1:25" ht="48" customHeight="1" thickBot="1" x14ac:dyDescent="0.35">
      <c r="A23" s="22">
        <v>3</v>
      </c>
      <c r="B23" s="26" t="s">
        <v>34</v>
      </c>
      <c r="C23" s="36">
        <v>-3</v>
      </c>
      <c r="D23" s="36"/>
      <c r="E23" s="36" t="s">
        <v>43</v>
      </c>
      <c r="F23" s="36"/>
      <c r="G23" s="36">
        <v>0</v>
      </c>
      <c r="H23" s="36"/>
      <c r="I23" s="36" t="s">
        <v>43</v>
      </c>
      <c r="J23" s="37"/>
      <c r="L23" s="22">
        <v>3</v>
      </c>
      <c r="M23" s="38" t="s">
        <v>28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9"/>
    </row>
    <row r="24" spans="1:25" ht="48" customHeight="1" thickBot="1" x14ac:dyDescent="0.35">
      <c r="A24" s="22">
        <v>4</v>
      </c>
      <c r="B24" s="26" t="s">
        <v>35</v>
      </c>
      <c r="C24" s="36"/>
      <c r="D24" s="36"/>
      <c r="E24" s="36"/>
      <c r="F24" s="36"/>
      <c r="G24" s="36"/>
      <c r="H24" s="36"/>
      <c r="I24" s="36"/>
      <c r="J24" s="37"/>
      <c r="L24" s="22">
        <v>4</v>
      </c>
      <c r="M24" s="38" t="s">
        <v>29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9"/>
    </row>
    <row r="25" spans="1:25" ht="48" customHeight="1" thickBot="1" x14ac:dyDescent="0.35">
      <c r="A25" s="22">
        <v>5</v>
      </c>
      <c r="B25" s="26" t="s">
        <v>41</v>
      </c>
      <c r="C25" s="36"/>
      <c r="D25" s="36"/>
      <c r="E25" s="36"/>
      <c r="F25" s="36"/>
      <c r="G25" s="36"/>
      <c r="H25" s="36"/>
      <c r="I25" s="36"/>
      <c r="J25" s="37"/>
      <c r="L25" s="22">
        <v>5</v>
      </c>
      <c r="M25" s="38" t="s">
        <v>27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9"/>
    </row>
    <row r="26" spans="1:25" ht="48" customHeight="1" thickBot="1" x14ac:dyDescent="0.35">
      <c r="A26" s="22">
        <v>6</v>
      </c>
      <c r="B26" s="26" t="s">
        <v>37</v>
      </c>
      <c r="C26" s="36">
        <v>-11</v>
      </c>
      <c r="D26" s="36"/>
      <c r="E26" s="36">
        <v>0</v>
      </c>
      <c r="F26" s="36"/>
      <c r="G26" s="36">
        <v>0</v>
      </c>
      <c r="H26" s="36"/>
      <c r="I26" s="36">
        <v>-11</v>
      </c>
      <c r="J26" s="37"/>
      <c r="L26" s="22">
        <v>6</v>
      </c>
      <c r="M26" s="38" t="s">
        <v>26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9"/>
    </row>
    <row r="27" spans="1:25" ht="48" customHeight="1" thickBot="1" x14ac:dyDescent="0.35">
      <c r="A27" s="22">
        <v>7</v>
      </c>
      <c r="B27" s="26" t="s">
        <v>38</v>
      </c>
      <c r="C27" s="36"/>
      <c r="D27" s="36"/>
      <c r="E27" s="36"/>
      <c r="F27" s="36"/>
      <c r="G27" s="36"/>
      <c r="H27" s="36"/>
      <c r="I27" s="36"/>
      <c r="J27" s="37"/>
      <c r="L27" s="22">
        <v>7</v>
      </c>
      <c r="M27" s="38" t="s">
        <v>24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9"/>
    </row>
    <row r="28" spans="1:25" ht="48" customHeight="1" thickBot="1" x14ac:dyDescent="0.35">
      <c r="A28" s="22">
        <v>8</v>
      </c>
      <c r="B28" s="26" t="s">
        <v>39</v>
      </c>
      <c r="C28" s="36"/>
      <c r="D28" s="36"/>
      <c r="E28" s="36"/>
      <c r="F28" s="36"/>
      <c r="G28" s="36"/>
      <c r="H28" s="36"/>
      <c r="I28" s="36"/>
      <c r="J28" s="37"/>
      <c r="L28" s="22">
        <v>8</v>
      </c>
      <c r="M28" s="38" t="s">
        <v>23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9"/>
    </row>
    <row r="29" spans="1:25" ht="48" customHeight="1" thickBot="1" x14ac:dyDescent="0.35">
      <c r="A29" s="22">
        <v>9</v>
      </c>
      <c r="B29" s="26"/>
      <c r="C29" s="36"/>
      <c r="D29" s="36"/>
      <c r="E29" s="36"/>
      <c r="F29" s="36"/>
      <c r="G29" s="36"/>
      <c r="H29" s="36"/>
      <c r="I29" s="36"/>
      <c r="J29" s="37"/>
      <c r="L29" s="22">
        <v>9</v>
      </c>
      <c r="M29" s="38" t="s">
        <v>25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9"/>
    </row>
    <row r="30" spans="1:25" ht="48" customHeight="1" thickBot="1" x14ac:dyDescent="0.35">
      <c r="A30" s="23">
        <v>10</v>
      </c>
      <c r="B30" s="27"/>
      <c r="C30" s="32"/>
      <c r="D30" s="32"/>
      <c r="E30" s="32"/>
      <c r="F30" s="32"/>
      <c r="G30" s="32"/>
      <c r="H30" s="32"/>
      <c r="I30" s="32"/>
      <c r="J30" s="33"/>
      <c r="L30" s="23">
        <v>10</v>
      </c>
      <c r="M30" s="34" t="s">
        <v>30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5"/>
    </row>
    <row r="31" spans="1:25" ht="15" thickTop="1" x14ac:dyDescent="0.3"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5" spans="13:13" x14ac:dyDescent="0.3">
      <c r="M35" s="31"/>
    </row>
  </sheetData>
  <sheetProtection algorithmName="SHA-512" hashValue="U3Tmx2YyB3XG4SVBKwfISq9/jTRLK2cD8gXp748nG+M4PPHPsPIxOAihGM5XSkk9lMobEa7xinc765zRe6/n5Q==" saltValue="SfD1bj5UKp8cnwToAQeRRA==" spinCount="100000" sheet="1" objects="1" scenarios="1"/>
  <mergeCells count="67">
    <mergeCell ref="A1:A2"/>
    <mergeCell ref="B1:B2"/>
    <mergeCell ref="C1:C2"/>
    <mergeCell ref="D1:H1"/>
    <mergeCell ref="I1:M1"/>
    <mergeCell ref="G20:H20"/>
    <mergeCell ref="I20:J20"/>
    <mergeCell ref="M21:Y21"/>
    <mergeCell ref="C21:D21"/>
    <mergeCell ref="G21:H21"/>
    <mergeCell ref="L20:Y20"/>
    <mergeCell ref="C24:D24"/>
    <mergeCell ref="C25:D25"/>
    <mergeCell ref="C26:D26"/>
    <mergeCell ref="C20:D20"/>
    <mergeCell ref="E20:F20"/>
    <mergeCell ref="C27:D27"/>
    <mergeCell ref="C28:D28"/>
    <mergeCell ref="C29:D29"/>
    <mergeCell ref="C30:D3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C22:D22"/>
    <mergeCell ref="C23:D23"/>
    <mergeCell ref="G27:H27"/>
    <mergeCell ref="G28:H28"/>
    <mergeCell ref="G29:H29"/>
    <mergeCell ref="G30:H30"/>
    <mergeCell ref="I21:J21"/>
    <mergeCell ref="I22:J22"/>
    <mergeCell ref="I23:J23"/>
    <mergeCell ref="I24:J24"/>
    <mergeCell ref="I25:J25"/>
    <mergeCell ref="G22:H22"/>
    <mergeCell ref="G23:H23"/>
    <mergeCell ref="G24:H24"/>
    <mergeCell ref="G25:H25"/>
    <mergeCell ref="G26:H26"/>
    <mergeCell ref="M30:Y30"/>
    <mergeCell ref="I26:J26"/>
    <mergeCell ref="I27:J27"/>
    <mergeCell ref="I28:J28"/>
    <mergeCell ref="I29:J29"/>
    <mergeCell ref="I30:J30"/>
    <mergeCell ref="M26:Y26"/>
    <mergeCell ref="AO1:AO2"/>
    <mergeCell ref="M27:Y27"/>
    <mergeCell ref="M28:Y28"/>
    <mergeCell ref="M29:Y29"/>
    <mergeCell ref="N1:R1"/>
    <mergeCell ref="M22:Y22"/>
    <mergeCell ref="M23:Y23"/>
    <mergeCell ref="M24:Y24"/>
    <mergeCell ref="M25:Y25"/>
    <mergeCell ref="AM1:AN1"/>
    <mergeCell ref="AC1:AG1"/>
    <mergeCell ref="AH1:AL1"/>
    <mergeCell ref="S1:W1"/>
    <mergeCell ref="X1:AB1"/>
  </mergeCells>
  <phoneticPr fontId="6" type="noConversion"/>
  <printOptions horizontalCentered="1" verticalCentered="1"/>
  <pageMargins left="0" right="0" top="0" bottom="0" header="0" footer="0"/>
  <pageSetup paperSize="9" scale="2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8D3A34-0410-4F1F-8864-70C7D12B1A31}">
          <x14:formula1>
            <xm:f>Sayfa1!$A$1:$A$48</xm:f>
          </x14:formula1>
          <xm:sqref>D3:E14 AC3:AD14 X3:Y14 S3:T14 N3:O14 I3:J14 AH3:AI14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5748-96B6-4F26-98E8-AC94B9CBF6D8}">
  <sheetPr>
    <pageSetUpPr fitToPage="1"/>
  </sheetPr>
  <dimension ref="A1:AO35"/>
  <sheetViews>
    <sheetView zoomScale="49" zoomScaleNormal="49" workbookViewId="0">
      <selection activeCell="D8" sqref="D8"/>
    </sheetView>
  </sheetViews>
  <sheetFormatPr defaultColWidth="9.109375" defaultRowHeight="14.4" x14ac:dyDescent="0.3"/>
  <cols>
    <col min="1" max="1" width="8.44140625" style="13" bestFit="1" customWidth="1"/>
    <col min="2" max="2" width="25.77734375" style="13" customWidth="1"/>
    <col min="3" max="3" width="14.5546875" style="13" bestFit="1" customWidth="1"/>
    <col min="4" max="4" width="11.21875" style="13" bestFit="1" customWidth="1"/>
    <col min="5" max="5" width="11.21875" style="13" customWidth="1"/>
    <col min="6" max="7" width="11.21875" style="13" bestFit="1" customWidth="1"/>
    <col min="8" max="8" width="11.21875" style="13" customWidth="1"/>
    <col min="9" max="10" width="11.21875" style="13" bestFit="1" customWidth="1"/>
    <col min="11" max="11" width="11.21875" style="13" customWidth="1"/>
    <col min="12" max="38" width="11.21875" style="13" bestFit="1" customWidth="1"/>
    <col min="39" max="40" width="20.77734375" style="13" customWidth="1"/>
    <col min="41" max="41" width="40.77734375" style="13" customWidth="1"/>
    <col min="42" max="16384" width="9.109375" style="13"/>
  </cols>
  <sheetData>
    <row r="1" spans="1:41" s="7" customFormat="1" ht="25.5" customHeight="1" thickTop="1" thickBot="1" x14ac:dyDescent="0.35">
      <c r="A1" s="47" t="s">
        <v>0</v>
      </c>
      <c r="B1" s="49" t="s">
        <v>4</v>
      </c>
      <c r="C1" s="51" t="s">
        <v>1</v>
      </c>
      <c r="D1" s="53">
        <v>46272</v>
      </c>
      <c r="E1" s="54"/>
      <c r="F1" s="54"/>
      <c r="G1" s="54"/>
      <c r="H1" s="55"/>
      <c r="I1" s="53">
        <v>46273</v>
      </c>
      <c r="J1" s="54"/>
      <c r="K1" s="54"/>
      <c r="L1" s="54"/>
      <c r="M1" s="55"/>
      <c r="N1" s="53">
        <v>46274</v>
      </c>
      <c r="O1" s="54"/>
      <c r="P1" s="54"/>
      <c r="Q1" s="54"/>
      <c r="R1" s="55"/>
      <c r="S1" s="53">
        <v>46275</v>
      </c>
      <c r="T1" s="54"/>
      <c r="U1" s="54"/>
      <c r="V1" s="54"/>
      <c r="W1" s="55"/>
      <c r="X1" s="53">
        <v>46276</v>
      </c>
      <c r="Y1" s="54"/>
      <c r="Z1" s="54"/>
      <c r="AA1" s="54"/>
      <c r="AB1" s="55"/>
      <c r="AC1" s="53">
        <v>46277</v>
      </c>
      <c r="AD1" s="54"/>
      <c r="AE1" s="54"/>
      <c r="AF1" s="54"/>
      <c r="AG1" s="55"/>
      <c r="AH1" s="53">
        <v>46278</v>
      </c>
      <c r="AI1" s="54"/>
      <c r="AJ1" s="54"/>
      <c r="AK1" s="54"/>
      <c r="AL1" s="55"/>
      <c r="AM1" s="56" t="s">
        <v>12</v>
      </c>
      <c r="AN1" s="57"/>
      <c r="AO1" s="45" t="s">
        <v>19</v>
      </c>
    </row>
    <row r="2" spans="1:41" ht="41.4" customHeight="1" thickBot="1" x14ac:dyDescent="0.35">
      <c r="A2" s="48"/>
      <c r="B2" s="50"/>
      <c r="C2" s="52"/>
      <c r="D2" s="8" t="s">
        <v>2</v>
      </c>
      <c r="E2" s="9" t="s">
        <v>3</v>
      </c>
      <c r="F2" s="10" t="s">
        <v>7</v>
      </c>
      <c r="G2" s="10" t="s">
        <v>6</v>
      </c>
      <c r="H2" s="11" t="s">
        <v>8</v>
      </c>
      <c r="I2" s="8" t="s">
        <v>2</v>
      </c>
      <c r="J2" s="9" t="s">
        <v>3</v>
      </c>
      <c r="K2" s="10" t="s">
        <v>7</v>
      </c>
      <c r="L2" s="10" t="s">
        <v>6</v>
      </c>
      <c r="M2" s="11" t="s">
        <v>8</v>
      </c>
      <c r="N2" s="8" t="s">
        <v>2</v>
      </c>
      <c r="O2" s="9" t="s">
        <v>3</v>
      </c>
      <c r="P2" s="10" t="s">
        <v>7</v>
      </c>
      <c r="Q2" s="10" t="s">
        <v>6</v>
      </c>
      <c r="R2" s="11" t="s">
        <v>8</v>
      </c>
      <c r="S2" s="8" t="s">
        <v>2</v>
      </c>
      <c r="T2" s="9" t="s">
        <v>3</v>
      </c>
      <c r="U2" s="10" t="s">
        <v>7</v>
      </c>
      <c r="V2" s="10" t="s">
        <v>6</v>
      </c>
      <c r="W2" s="11" t="s">
        <v>8</v>
      </c>
      <c r="X2" s="8" t="s">
        <v>2</v>
      </c>
      <c r="Y2" s="9" t="s">
        <v>3</v>
      </c>
      <c r="Z2" s="10" t="s">
        <v>7</v>
      </c>
      <c r="AA2" s="10" t="s">
        <v>6</v>
      </c>
      <c r="AB2" s="11" t="s">
        <v>8</v>
      </c>
      <c r="AC2" s="8" t="s">
        <v>2</v>
      </c>
      <c r="AD2" s="9" t="s">
        <v>3</v>
      </c>
      <c r="AE2" s="10" t="s">
        <v>7</v>
      </c>
      <c r="AF2" s="10" t="s">
        <v>6</v>
      </c>
      <c r="AG2" s="11" t="s">
        <v>8</v>
      </c>
      <c r="AH2" s="8" t="s">
        <v>2</v>
      </c>
      <c r="AI2" s="9" t="s">
        <v>3</v>
      </c>
      <c r="AJ2" s="10" t="s">
        <v>7</v>
      </c>
      <c r="AK2" s="10" t="s">
        <v>6</v>
      </c>
      <c r="AL2" s="11" t="s">
        <v>8</v>
      </c>
      <c r="AM2" s="12" t="s">
        <v>10</v>
      </c>
      <c r="AN2" s="11" t="s">
        <v>11</v>
      </c>
      <c r="AO2" s="46"/>
    </row>
    <row r="3" spans="1:41" ht="48" customHeight="1" thickBot="1" x14ac:dyDescent="0.35">
      <c r="A3" s="22">
        <v>1</v>
      </c>
      <c r="B3" s="1" t="s">
        <v>32</v>
      </c>
      <c r="C3" s="2" t="s">
        <v>5</v>
      </c>
      <c r="D3" s="4">
        <v>0.58333333333333304</v>
      </c>
      <c r="E3" s="5">
        <v>0.91666666666666696</v>
      </c>
      <c r="F3" s="14">
        <f>E3-D3</f>
        <v>0.33333333333333393</v>
      </c>
      <c r="G3" s="15">
        <f>IFERROR(VLOOKUP(F3,Sayfa1!C:D,2,TRUE),"")</f>
        <v>4.1666666666666664E-2</v>
      </c>
      <c r="H3" s="16">
        <f t="shared" ref="H3:H14" si="0">IFERROR(F3-G3,"")</f>
        <v>0.29166666666666724</v>
      </c>
      <c r="I3" s="4">
        <v>0.39583333333333298</v>
      </c>
      <c r="J3" s="5">
        <v>0.91666666666666696</v>
      </c>
      <c r="K3" s="14">
        <f>J3-I3</f>
        <v>0.52083333333333393</v>
      </c>
      <c r="L3" s="15">
        <f>IFERROR(VLOOKUP(K3,Sayfa1!C:D,2,TRUE),"")</f>
        <v>8.3333333333333329E-2</v>
      </c>
      <c r="M3" s="16">
        <f t="shared" ref="M3:M14" si="1">IFERROR(K3-L3,"")</f>
        <v>0.43750000000000061</v>
      </c>
      <c r="N3" s="4">
        <v>0.39583333333333298</v>
      </c>
      <c r="O3" s="5">
        <v>0.77083333333333304</v>
      </c>
      <c r="P3" s="14">
        <f>O3-N3</f>
        <v>0.37500000000000006</v>
      </c>
      <c r="Q3" s="15">
        <f>IFERROR(VLOOKUP(P3,Sayfa1!C:D,2,TRUE),"")</f>
        <v>6.25E-2</v>
      </c>
      <c r="R3" s="16">
        <f t="shared" ref="R3:R14" si="2">IFERROR(P3-Q3,"")</f>
        <v>0.31250000000000006</v>
      </c>
      <c r="S3" s="4">
        <v>0</v>
      </c>
      <c r="T3" s="5">
        <v>0</v>
      </c>
      <c r="U3" s="14">
        <f>T3-S3</f>
        <v>0</v>
      </c>
      <c r="V3" s="15">
        <f>IFERROR(VLOOKUP(U3,Sayfa1!C:D,2,TRUE),"")</f>
        <v>0</v>
      </c>
      <c r="W3" s="16">
        <f t="shared" ref="W3:W14" si="3">IFERROR(U3-V3,"")</f>
        <v>0</v>
      </c>
      <c r="X3" s="4">
        <v>0.29166666666666702</v>
      </c>
      <c r="Y3" s="5">
        <v>0.97916666666666696</v>
      </c>
      <c r="Z3" s="14">
        <f>Y3-X3</f>
        <v>0.6875</v>
      </c>
      <c r="AA3" s="15">
        <f>IFERROR(VLOOKUP(Z3,Sayfa1!C:D,2,TRUE),"")</f>
        <v>0.10416666666666667</v>
      </c>
      <c r="AB3" s="16">
        <f t="shared" ref="AB3:AB14" si="4">IFERROR(Z3-AA3,"")</f>
        <v>0.58333333333333337</v>
      </c>
      <c r="AC3" s="4">
        <v>0.39583333333333298</v>
      </c>
      <c r="AD3" s="5">
        <v>0.91666666666666696</v>
      </c>
      <c r="AE3" s="14">
        <f>AD3-AC3</f>
        <v>0.52083333333333393</v>
      </c>
      <c r="AF3" s="15">
        <f>IFERROR(VLOOKUP(AE3,Sayfa1!C:D,2,TRUE),"")</f>
        <v>8.3333333333333329E-2</v>
      </c>
      <c r="AG3" s="16">
        <f t="shared" ref="AG3:AG14" si="5">IFERROR(AE3-AF3,"")</f>
        <v>0.43750000000000061</v>
      </c>
      <c r="AH3" s="4">
        <v>0.39583333333333298</v>
      </c>
      <c r="AI3" s="5">
        <v>0.75</v>
      </c>
      <c r="AJ3" s="14">
        <f>AI3-AH3</f>
        <v>0.35416666666666702</v>
      </c>
      <c r="AK3" s="15">
        <f>IFERROR(VLOOKUP(AJ3,Sayfa1!C:D,2,TRUE),"")</f>
        <v>6.25E-2</v>
      </c>
      <c r="AL3" s="16">
        <f>IFERROR(AJ3-AK3,"")</f>
        <v>0.29166666666666702</v>
      </c>
      <c r="AM3" s="17">
        <f>IFERROR(H3+M3+R3+W3+AB3+AG3+AL3,"")</f>
        <v>2.3541666666666687</v>
      </c>
      <c r="AN3" s="18">
        <f>IFERROR(AM3-(Sayfa1!$I$1/24),"")</f>
        <v>0.47916666666666874</v>
      </c>
      <c r="AO3" s="29"/>
    </row>
    <row r="4" spans="1:41" ht="48" customHeight="1" thickBot="1" x14ac:dyDescent="0.35">
      <c r="A4" s="22">
        <v>2</v>
      </c>
      <c r="B4" s="1" t="s">
        <v>33</v>
      </c>
      <c r="C4" s="2" t="s">
        <v>31</v>
      </c>
      <c r="D4" s="4">
        <v>0.39583333333333298</v>
      </c>
      <c r="E4" s="5">
        <v>0.72916666666666696</v>
      </c>
      <c r="F4" s="14">
        <f t="shared" ref="F4:F14" si="6">E4-D4</f>
        <v>0.33333333333333398</v>
      </c>
      <c r="G4" s="15">
        <f>IFERROR(VLOOKUP(F4,Sayfa1!C:D,2,TRUE),"")</f>
        <v>4.1666666666666664E-2</v>
      </c>
      <c r="H4" s="16">
        <f t="shared" si="0"/>
        <v>0.2916666666666673</v>
      </c>
      <c r="I4" s="4">
        <v>0</v>
      </c>
      <c r="J4" s="5">
        <v>0</v>
      </c>
      <c r="K4" s="14">
        <f t="shared" ref="K4:K14" si="7">J4-I4</f>
        <v>0</v>
      </c>
      <c r="L4" s="15">
        <f>IFERROR(VLOOKUP(K4,Sayfa1!C:D,2,TRUE),"")</f>
        <v>0</v>
      </c>
      <c r="M4" s="16">
        <f t="shared" si="1"/>
        <v>0</v>
      </c>
      <c r="N4" s="4">
        <v>0.5</v>
      </c>
      <c r="O4" s="5">
        <v>0.91666666666666696</v>
      </c>
      <c r="P4" s="14">
        <f t="shared" ref="P4:P14" si="8">O4-N4</f>
        <v>0.41666666666666696</v>
      </c>
      <c r="Q4" s="15">
        <f>IFERROR(VLOOKUP(P4,Sayfa1!C:D,2,TRUE),"")</f>
        <v>6.25E-2</v>
      </c>
      <c r="R4" s="16">
        <f t="shared" si="2"/>
        <v>0.35416666666666696</v>
      </c>
      <c r="S4" s="4">
        <v>0.39583333333333298</v>
      </c>
      <c r="T4" s="5">
        <v>0.91666666666666696</v>
      </c>
      <c r="U4" s="14">
        <f t="shared" ref="U4:U14" si="9">T4-S4</f>
        <v>0.52083333333333393</v>
      </c>
      <c r="V4" s="15">
        <f>IFERROR(VLOOKUP(U4,Sayfa1!C:D,2,TRUE),"")</f>
        <v>8.3333333333333329E-2</v>
      </c>
      <c r="W4" s="16">
        <f t="shared" si="3"/>
        <v>0.43750000000000061</v>
      </c>
      <c r="X4" s="4">
        <v>0.39583333333333298</v>
      </c>
      <c r="Y4" s="5">
        <v>0.70833333333333304</v>
      </c>
      <c r="Z4" s="14">
        <f t="shared" ref="Z4:Z14" si="10">Y4-X4</f>
        <v>0.31250000000000006</v>
      </c>
      <c r="AA4" s="15">
        <f>IFERROR(VLOOKUP(Z4,Sayfa1!C:D,2,TRUE),"")</f>
        <v>4.1666666666666664E-2</v>
      </c>
      <c r="AB4" s="16">
        <f t="shared" si="4"/>
        <v>0.27083333333333337</v>
      </c>
      <c r="AC4" s="4">
        <v>0.5</v>
      </c>
      <c r="AD4" s="5">
        <v>0.91666666666666696</v>
      </c>
      <c r="AE4" s="14">
        <f t="shared" ref="AE4:AE14" si="11">AD4-AC4</f>
        <v>0.41666666666666696</v>
      </c>
      <c r="AF4" s="15">
        <f>IFERROR(VLOOKUP(AE4,Sayfa1!C:D,2,TRUE),"")</f>
        <v>6.25E-2</v>
      </c>
      <c r="AG4" s="16">
        <f t="shared" si="5"/>
        <v>0.35416666666666696</v>
      </c>
      <c r="AH4" s="4">
        <v>0.39583333333333298</v>
      </c>
      <c r="AI4" s="5">
        <v>0.75</v>
      </c>
      <c r="AJ4" s="14">
        <f t="shared" ref="AJ4:AJ14" si="12">AI4-AH4</f>
        <v>0.35416666666666702</v>
      </c>
      <c r="AK4" s="15">
        <f>IFERROR(VLOOKUP(AJ4,Sayfa1!C:D,2,TRUE),"")</f>
        <v>6.25E-2</v>
      </c>
      <c r="AL4" s="16">
        <f t="shared" ref="AL4:AL14" si="13">IFERROR(AJ4-AK4,"")</f>
        <v>0.29166666666666702</v>
      </c>
      <c r="AM4" s="17">
        <f t="shared" ref="AM4:AM14" si="14">IFERROR(H4+M4+R4+W4+AB4+AG4+AL4,"")</f>
        <v>2.0000000000000022</v>
      </c>
      <c r="AN4" s="18">
        <f>IFERROR(AM4-(Sayfa1!$I$1/24),"")</f>
        <v>0.12500000000000222</v>
      </c>
      <c r="AO4" s="29"/>
    </row>
    <row r="5" spans="1:41" ht="48" customHeight="1" thickBot="1" x14ac:dyDescent="0.35">
      <c r="A5" s="22">
        <v>3</v>
      </c>
      <c r="B5" s="1" t="s">
        <v>34</v>
      </c>
      <c r="C5" s="2" t="s">
        <v>13</v>
      </c>
      <c r="D5" s="4">
        <v>0.39583333333333298</v>
      </c>
      <c r="E5" s="5">
        <v>0.70833333333333304</v>
      </c>
      <c r="F5" s="14">
        <f t="shared" si="6"/>
        <v>0.31250000000000006</v>
      </c>
      <c r="G5" s="15">
        <f>IFERROR(VLOOKUP(F5,Sayfa1!C:D,2,TRUE),"")</f>
        <v>4.1666666666666664E-2</v>
      </c>
      <c r="H5" s="16">
        <f t="shared" si="0"/>
        <v>0.27083333333333337</v>
      </c>
      <c r="I5" s="4">
        <v>0</v>
      </c>
      <c r="J5" s="5">
        <v>0</v>
      </c>
      <c r="K5" s="14">
        <f t="shared" si="7"/>
        <v>0</v>
      </c>
      <c r="L5" s="15">
        <f>IFERROR(VLOOKUP(K5,Sayfa1!C:D,2,TRUE),"")</f>
        <v>0</v>
      </c>
      <c r="M5" s="16">
        <f t="shared" si="1"/>
        <v>0</v>
      </c>
      <c r="N5" s="4">
        <v>0.58333333333333304</v>
      </c>
      <c r="O5" s="5">
        <v>0.91666666666666696</v>
      </c>
      <c r="P5" s="14">
        <f t="shared" si="8"/>
        <v>0.33333333333333393</v>
      </c>
      <c r="Q5" s="15">
        <f>IFERROR(VLOOKUP(P5,Sayfa1!C:D,2,TRUE),"")</f>
        <v>4.1666666666666664E-2</v>
      </c>
      <c r="R5" s="16">
        <f t="shared" si="2"/>
        <v>0.29166666666666724</v>
      </c>
      <c r="S5" s="4">
        <v>0.39583333333333298</v>
      </c>
      <c r="T5" s="5">
        <v>0.91666666666666696</v>
      </c>
      <c r="U5" s="14">
        <f t="shared" si="9"/>
        <v>0.52083333333333393</v>
      </c>
      <c r="V5" s="15">
        <f>IFERROR(VLOOKUP(U5,Sayfa1!C:D,2,TRUE),"")</f>
        <v>8.3333333333333329E-2</v>
      </c>
      <c r="W5" s="16">
        <f t="shared" si="3"/>
        <v>0.43750000000000061</v>
      </c>
      <c r="X5" s="4">
        <v>0.39583333333333298</v>
      </c>
      <c r="Y5" s="5">
        <v>0.77083333333333304</v>
      </c>
      <c r="Z5" s="14">
        <f t="shared" si="10"/>
        <v>0.37500000000000006</v>
      </c>
      <c r="AA5" s="15">
        <f>IFERROR(VLOOKUP(Z5,Sayfa1!C:D,2,TRUE),"")</f>
        <v>6.25E-2</v>
      </c>
      <c r="AB5" s="16">
        <f t="shared" si="4"/>
        <v>0.31250000000000006</v>
      </c>
      <c r="AC5" s="4">
        <v>0.375</v>
      </c>
      <c r="AD5" s="5">
        <v>0.875</v>
      </c>
      <c r="AE5" s="14">
        <f t="shared" si="11"/>
        <v>0.5</v>
      </c>
      <c r="AF5" s="15">
        <f>IFERROR(VLOOKUP(AE5,Sayfa1!C:D,2,TRUE),"")</f>
        <v>8.3333333333333329E-2</v>
      </c>
      <c r="AG5" s="16">
        <f t="shared" si="5"/>
        <v>0.41666666666666669</v>
      </c>
      <c r="AH5" s="4">
        <v>0.58333333333333304</v>
      </c>
      <c r="AI5" s="5">
        <v>0.91666666666666696</v>
      </c>
      <c r="AJ5" s="14">
        <f t="shared" si="12"/>
        <v>0.33333333333333393</v>
      </c>
      <c r="AK5" s="15">
        <f>IFERROR(VLOOKUP(AJ5,Sayfa1!C:D,2,TRUE),"")</f>
        <v>4.1666666666666664E-2</v>
      </c>
      <c r="AL5" s="16">
        <f t="shared" si="13"/>
        <v>0.29166666666666724</v>
      </c>
      <c r="AM5" s="17">
        <f t="shared" si="14"/>
        <v>2.0208333333333353</v>
      </c>
      <c r="AN5" s="18">
        <f>IFERROR(AM5-(Sayfa1!$I$1/24),"")</f>
        <v>0.14583333333333526</v>
      </c>
      <c r="AO5" s="29"/>
    </row>
    <row r="6" spans="1:41" ht="48" customHeight="1" thickBot="1" x14ac:dyDescent="0.35">
      <c r="A6" s="22">
        <v>4</v>
      </c>
      <c r="B6" s="1" t="s">
        <v>35</v>
      </c>
      <c r="C6" s="2" t="s">
        <v>13</v>
      </c>
      <c r="D6" s="4">
        <v>0.58333333333333304</v>
      </c>
      <c r="E6" s="5">
        <v>0.91666666666666696</v>
      </c>
      <c r="F6" s="14">
        <f t="shared" si="6"/>
        <v>0.33333333333333393</v>
      </c>
      <c r="G6" s="15">
        <f>IFERROR(VLOOKUP(F6,Sayfa1!C:D,2,TRUE),"")</f>
        <v>4.1666666666666664E-2</v>
      </c>
      <c r="H6" s="16">
        <f t="shared" si="0"/>
        <v>0.29166666666666724</v>
      </c>
      <c r="I6" s="4">
        <v>0.39583333333333298</v>
      </c>
      <c r="J6" s="5">
        <v>0.91666666666666696</v>
      </c>
      <c r="K6" s="14">
        <f t="shared" si="7"/>
        <v>0.52083333333333393</v>
      </c>
      <c r="L6" s="15">
        <f>IFERROR(VLOOKUP(K6,Sayfa1!C:D,2,TRUE),"")</f>
        <v>8.3333333333333329E-2</v>
      </c>
      <c r="M6" s="16">
        <f t="shared" si="1"/>
        <v>0.43750000000000061</v>
      </c>
      <c r="N6" s="4">
        <v>0.39583333333333298</v>
      </c>
      <c r="O6" s="5">
        <v>0.72916666666666696</v>
      </c>
      <c r="P6" s="14">
        <f t="shared" si="8"/>
        <v>0.33333333333333398</v>
      </c>
      <c r="Q6" s="15">
        <f>IFERROR(VLOOKUP(P6,Sayfa1!C:D,2,TRUE),"")</f>
        <v>4.1666666666666664E-2</v>
      </c>
      <c r="R6" s="16">
        <f t="shared" si="2"/>
        <v>0.2916666666666673</v>
      </c>
      <c r="S6" s="4">
        <v>0</v>
      </c>
      <c r="T6" s="5">
        <v>0</v>
      </c>
      <c r="U6" s="14">
        <f t="shared" si="9"/>
        <v>0</v>
      </c>
      <c r="V6" s="15">
        <f>IFERROR(VLOOKUP(U6,Sayfa1!C:D,2,TRUE),"")</f>
        <v>0</v>
      </c>
      <c r="W6" s="16">
        <f t="shared" si="3"/>
        <v>0</v>
      </c>
      <c r="X6" s="4">
        <v>0.29166666666666702</v>
      </c>
      <c r="Y6" s="5">
        <v>0.97916666666666696</v>
      </c>
      <c r="Z6" s="14">
        <f t="shared" si="10"/>
        <v>0.6875</v>
      </c>
      <c r="AA6" s="15">
        <f>IFERROR(VLOOKUP(Z6,Sayfa1!C:D,2,TRUE),"")</f>
        <v>0.10416666666666667</v>
      </c>
      <c r="AB6" s="16">
        <f t="shared" si="4"/>
        <v>0.58333333333333337</v>
      </c>
      <c r="AC6" s="4">
        <v>0.39583333333333298</v>
      </c>
      <c r="AD6" s="5">
        <v>0.91666666666666696</v>
      </c>
      <c r="AE6" s="14">
        <f t="shared" si="11"/>
        <v>0.52083333333333393</v>
      </c>
      <c r="AF6" s="15">
        <f>IFERROR(VLOOKUP(AE6,Sayfa1!C:D,2,TRUE),"")</f>
        <v>8.3333333333333329E-2</v>
      </c>
      <c r="AG6" s="16">
        <f t="shared" si="5"/>
        <v>0.43750000000000061</v>
      </c>
      <c r="AH6" s="4">
        <v>0.58333333333333304</v>
      </c>
      <c r="AI6" s="5">
        <v>0.91666666666666696</v>
      </c>
      <c r="AJ6" s="14">
        <f t="shared" si="12"/>
        <v>0.33333333333333393</v>
      </c>
      <c r="AK6" s="15">
        <f>IFERROR(VLOOKUP(AJ6,Sayfa1!C:D,2,TRUE),"")</f>
        <v>4.1666666666666664E-2</v>
      </c>
      <c r="AL6" s="16">
        <f t="shared" si="13"/>
        <v>0.29166666666666724</v>
      </c>
      <c r="AM6" s="17">
        <f t="shared" si="14"/>
        <v>2.3333333333333366</v>
      </c>
      <c r="AN6" s="18">
        <f>IFERROR(AM6-(Sayfa1!$I$1/24),"")</f>
        <v>0.45833333333333659</v>
      </c>
      <c r="AO6" s="29"/>
    </row>
    <row r="7" spans="1:41" ht="48" customHeight="1" thickBot="1" x14ac:dyDescent="0.35">
      <c r="A7" s="22">
        <v>5</v>
      </c>
      <c r="B7" s="1" t="s">
        <v>36</v>
      </c>
      <c r="C7" s="2" t="s">
        <v>13</v>
      </c>
      <c r="D7" s="4">
        <v>0.58333333333333304</v>
      </c>
      <c r="E7" s="5">
        <v>0.91666666666666696</v>
      </c>
      <c r="F7" s="14">
        <f t="shared" si="6"/>
        <v>0.33333333333333393</v>
      </c>
      <c r="G7" s="15">
        <f>IFERROR(VLOOKUP(F7,Sayfa1!C:D,2,TRUE),"")</f>
        <v>4.1666666666666664E-2</v>
      </c>
      <c r="H7" s="16">
        <f t="shared" si="0"/>
        <v>0.29166666666666724</v>
      </c>
      <c r="I7" s="4">
        <v>0.39583333333333298</v>
      </c>
      <c r="J7" s="5">
        <v>0.72916666666666696</v>
      </c>
      <c r="K7" s="14">
        <f t="shared" si="7"/>
        <v>0.33333333333333398</v>
      </c>
      <c r="L7" s="15">
        <f>IFERROR(VLOOKUP(K7,Sayfa1!C:D,2,TRUE),"")</f>
        <v>4.1666666666666664E-2</v>
      </c>
      <c r="M7" s="16">
        <f t="shared" si="1"/>
        <v>0.2916666666666673</v>
      </c>
      <c r="N7" s="4">
        <v>0</v>
      </c>
      <c r="O7" s="5">
        <v>0</v>
      </c>
      <c r="P7" s="14">
        <f t="shared" si="8"/>
        <v>0</v>
      </c>
      <c r="Q7" s="15">
        <f>IFERROR(VLOOKUP(P7,Sayfa1!C:D,2,TRUE),"")</f>
        <v>0</v>
      </c>
      <c r="R7" s="16">
        <f t="shared" si="2"/>
        <v>0</v>
      </c>
      <c r="S7" s="4">
        <v>0.60416666666666696</v>
      </c>
      <c r="T7" s="5">
        <v>0.91666666666666696</v>
      </c>
      <c r="U7" s="14">
        <f t="shared" si="9"/>
        <v>0.3125</v>
      </c>
      <c r="V7" s="15">
        <f>IFERROR(VLOOKUP(U7,Sayfa1!C:D,2,TRUE),"")</f>
        <v>4.1666666666666664E-2</v>
      </c>
      <c r="W7" s="16">
        <f t="shared" si="3"/>
        <v>0.27083333333333331</v>
      </c>
      <c r="X7" s="4">
        <v>0.39583333333333298</v>
      </c>
      <c r="Y7" s="5">
        <v>0.91666666666666696</v>
      </c>
      <c r="Z7" s="14">
        <f t="shared" si="10"/>
        <v>0.52083333333333393</v>
      </c>
      <c r="AA7" s="15">
        <f>IFERROR(VLOOKUP(Z7,Sayfa1!C:D,2,TRUE),"")</f>
        <v>8.3333333333333329E-2</v>
      </c>
      <c r="AB7" s="16">
        <f t="shared" si="4"/>
        <v>0.43750000000000061</v>
      </c>
      <c r="AC7" s="4">
        <v>0.54166666666666696</v>
      </c>
      <c r="AD7" s="5">
        <v>0.91666666666666696</v>
      </c>
      <c r="AE7" s="14">
        <f t="shared" si="11"/>
        <v>0.375</v>
      </c>
      <c r="AF7" s="15">
        <f>IFERROR(VLOOKUP(AE7,Sayfa1!C:D,2,TRUE),"")</f>
        <v>6.25E-2</v>
      </c>
      <c r="AG7" s="16">
        <f t="shared" si="5"/>
        <v>0.3125</v>
      </c>
      <c r="AH7" s="4">
        <v>0.58333333333333304</v>
      </c>
      <c r="AI7" s="5">
        <v>0.91666666666666696</v>
      </c>
      <c r="AJ7" s="14">
        <f t="shared" si="12"/>
        <v>0.33333333333333393</v>
      </c>
      <c r="AK7" s="15">
        <f>IFERROR(VLOOKUP(AJ7,Sayfa1!C:D,2,TRUE),"")</f>
        <v>4.1666666666666664E-2</v>
      </c>
      <c r="AL7" s="16">
        <f t="shared" si="13"/>
        <v>0.29166666666666724</v>
      </c>
      <c r="AM7" s="17">
        <f t="shared" si="14"/>
        <v>1.8958333333333357</v>
      </c>
      <c r="AN7" s="18">
        <f>IFERROR(AM7-(Sayfa1!$I$1/24),"")</f>
        <v>2.0833333333335702E-2</v>
      </c>
      <c r="AO7" s="29"/>
    </row>
    <row r="8" spans="1:41" ht="48" customHeight="1" thickBot="1" x14ac:dyDescent="0.35">
      <c r="A8" s="22">
        <v>6</v>
      </c>
      <c r="B8" s="1" t="s">
        <v>37</v>
      </c>
      <c r="C8" s="2" t="s">
        <v>13</v>
      </c>
      <c r="D8" s="4">
        <v>0</v>
      </c>
      <c r="E8" s="5">
        <v>0</v>
      </c>
      <c r="F8" s="14">
        <f t="shared" si="6"/>
        <v>0</v>
      </c>
      <c r="G8" s="15">
        <f>IFERROR(VLOOKUP(F8,Sayfa1!C:D,2,TRUE),"")</f>
        <v>0</v>
      </c>
      <c r="H8" s="16">
        <f t="shared" si="0"/>
        <v>0</v>
      </c>
      <c r="I8" s="4">
        <v>0.58333333333333304</v>
      </c>
      <c r="J8" s="5">
        <v>0.91666666666666696</v>
      </c>
      <c r="K8" s="14">
        <f t="shared" si="7"/>
        <v>0.33333333333333393</v>
      </c>
      <c r="L8" s="15">
        <f>IFERROR(VLOOKUP(K8,Sayfa1!C:D,2,TRUE),"")</f>
        <v>4.1666666666666664E-2</v>
      </c>
      <c r="M8" s="16">
        <f t="shared" si="1"/>
        <v>0.29166666666666724</v>
      </c>
      <c r="N8" s="4">
        <v>0.39583333333333298</v>
      </c>
      <c r="O8" s="5">
        <v>0.91666666666666696</v>
      </c>
      <c r="P8" s="14">
        <f t="shared" si="8"/>
        <v>0.52083333333333393</v>
      </c>
      <c r="Q8" s="15">
        <f>IFERROR(VLOOKUP(P8,Sayfa1!C:D,2,TRUE),"")</f>
        <v>8.3333333333333329E-2</v>
      </c>
      <c r="R8" s="16">
        <f t="shared" si="2"/>
        <v>0.43750000000000061</v>
      </c>
      <c r="S8" s="4">
        <v>0.5</v>
      </c>
      <c r="T8" s="5">
        <v>0.83333333333333304</v>
      </c>
      <c r="U8" s="14">
        <f t="shared" si="9"/>
        <v>0.33333333333333304</v>
      </c>
      <c r="V8" s="15">
        <f>IFERROR(VLOOKUP(U8,Sayfa1!C:D,2,TRUE),"")</f>
        <v>4.1666666666666664E-2</v>
      </c>
      <c r="W8" s="16">
        <f t="shared" si="3"/>
        <v>0.29166666666666635</v>
      </c>
      <c r="X8" s="4">
        <v>0.39583333333333298</v>
      </c>
      <c r="Y8" s="5">
        <v>0.70833333333333304</v>
      </c>
      <c r="Z8" s="14">
        <f t="shared" si="10"/>
        <v>0.31250000000000006</v>
      </c>
      <c r="AA8" s="15">
        <f>IFERROR(VLOOKUP(Z8,Sayfa1!C:D,2,TRUE),"")</f>
        <v>4.1666666666666664E-2</v>
      </c>
      <c r="AB8" s="16">
        <f t="shared" si="4"/>
        <v>0.27083333333333337</v>
      </c>
      <c r="AC8" s="4">
        <v>0.375</v>
      </c>
      <c r="AD8" s="5">
        <v>0.91666666666666696</v>
      </c>
      <c r="AE8" s="14">
        <f t="shared" si="11"/>
        <v>0.54166666666666696</v>
      </c>
      <c r="AF8" s="15">
        <f>IFERROR(VLOOKUP(AE8,Sayfa1!C:D,2,TRUE),"")</f>
        <v>8.3333333333333329E-2</v>
      </c>
      <c r="AG8" s="16">
        <f t="shared" si="5"/>
        <v>0.45833333333333365</v>
      </c>
      <c r="AH8" s="4">
        <v>0.39583333333333298</v>
      </c>
      <c r="AI8" s="5">
        <v>0.75</v>
      </c>
      <c r="AJ8" s="14">
        <f t="shared" si="12"/>
        <v>0.35416666666666702</v>
      </c>
      <c r="AK8" s="15">
        <f>IFERROR(VLOOKUP(AJ8,Sayfa1!C:D,2,TRUE),"")</f>
        <v>6.25E-2</v>
      </c>
      <c r="AL8" s="16">
        <f t="shared" si="13"/>
        <v>0.29166666666666702</v>
      </c>
      <c r="AM8" s="17">
        <f t="shared" si="14"/>
        <v>2.0416666666666683</v>
      </c>
      <c r="AN8" s="18">
        <f>IFERROR(AM8-(Sayfa1!$I$1/24),"")</f>
        <v>0.16666666666666829</v>
      </c>
      <c r="AO8" s="29"/>
    </row>
    <row r="9" spans="1:41" ht="48" customHeight="1" thickBot="1" x14ac:dyDescent="0.35">
      <c r="A9" s="22">
        <v>7</v>
      </c>
      <c r="B9" s="1" t="s">
        <v>38</v>
      </c>
      <c r="C9" s="2" t="s">
        <v>13</v>
      </c>
      <c r="D9" s="4">
        <v>0.39583333333333298</v>
      </c>
      <c r="E9" s="5">
        <v>0.72916666666666696</v>
      </c>
      <c r="F9" s="14">
        <f t="shared" si="6"/>
        <v>0.33333333333333398</v>
      </c>
      <c r="G9" s="15">
        <f>IFERROR(VLOOKUP(F9,Sayfa1!C:D,2,TRUE),"")</f>
        <v>4.1666666666666664E-2</v>
      </c>
      <c r="H9" s="16">
        <f t="shared" si="0"/>
        <v>0.2916666666666673</v>
      </c>
      <c r="I9" s="4">
        <v>0.39583333333333298</v>
      </c>
      <c r="J9" s="5">
        <v>0.91666666666666696</v>
      </c>
      <c r="K9" s="14">
        <f t="shared" si="7"/>
        <v>0.52083333333333393</v>
      </c>
      <c r="L9" s="15">
        <f>IFERROR(VLOOKUP(K9,Sayfa1!C:D,2,TRUE),"")</f>
        <v>8.3333333333333329E-2</v>
      </c>
      <c r="M9" s="16">
        <f t="shared" si="1"/>
        <v>0.43750000000000061</v>
      </c>
      <c r="N9" s="4">
        <v>0.39583333333333298</v>
      </c>
      <c r="O9" s="5">
        <v>0.70833333333333304</v>
      </c>
      <c r="P9" s="14">
        <f t="shared" si="8"/>
        <v>0.31250000000000006</v>
      </c>
      <c r="Q9" s="15">
        <f>IFERROR(VLOOKUP(P9,Sayfa1!C:D,2,TRUE),"")</f>
        <v>4.1666666666666664E-2</v>
      </c>
      <c r="R9" s="16">
        <f t="shared" si="2"/>
        <v>0.27083333333333337</v>
      </c>
      <c r="S9" s="4">
        <v>0</v>
      </c>
      <c r="T9" s="5">
        <v>0</v>
      </c>
      <c r="U9" s="14">
        <f t="shared" si="9"/>
        <v>0</v>
      </c>
      <c r="V9" s="15">
        <f>IFERROR(VLOOKUP(U9,Sayfa1!C:D,2,TRUE),"")</f>
        <v>0</v>
      </c>
      <c r="W9" s="16">
        <f t="shared" si="3"/>
        <v>0</v>
      </c>
      <c r="X9" s="4">
        <v>0.58333333333333304</v>
      </c>
      <c r="Y9" s="5">
        <v>0.91666666666666696</v>
      </c>
      <c r="Z9" s="14">
        <f t="shared" si="10"/>
        <v>0.33333333333333393</v>
      </c>
      <c r="AA9" s="15">
        <f>IFERROR(VLOOKUP(Z9,Sayfa1!C:D,2,TRUE),"")</f>
        <v>4.1666666666666664E-2</v>
      </c>
      <c r="AB9" s="16">
        <f t="shared" si="4"/>
        <v>0.29166666666666724</v>
      </c>
      <c r="AC9" s="4">
        <v>0.52083333333333304</v>
      </c>
      <c r="AD9" s="5">
        <v>0.91666666666666696</v>
      </c>
      <c r="AE9" s="14">
        <f t="shared" si="11"/>
        <v>0.39583333333333393</v>
      </c>
      <c r="AF9" s="15">
        <f>IFERROR(VLOOKUP(AE9,Sayfa1!C:D,2,TRUE),"")</f>
        <v>6.25E-2</v>
      </c>
      <c r="AG9" s="16">
        <f t="shared" si="5"/>
        <v>0.33333333333333393</v>
      </c>
      <c r="AH9" s="4">
        <v>0.5</v>
      </c>
      <c r="AI9" s="5">
        <v>0.83333333333333304</v>
      </c>
      <c r="AJ9" s="14">
        <f t="shared" si="12"/>
        <v>0.33333333333333304</v>
      </c>
      <c r="AK9" s="15">
        <f>IFERROR(VLOOKUP(AJ9,Sayfa1!C:D,2,TRUE),"")</f>
        <v>4.1666666666666664E-2</v>
      </c>
      <c r="AL9" s="16">
        <f t="shared" si="13"/>
        <v>0.29166666666666635</v>
      </c>
      <c r="AM9" s="17">
        <f t="shared" si="14"/>
        <v>1.9166666666666687</v>
      </c>
      <c r="AN9" s="18">
        <f>IFERROR(AM9-(Sayfa1!$I$1/24),"")</f>
        <v>4.1666666666668739E-2</v>
      </c>
      <c r="AO9" s="29"/>
    </row>
    <row r="10" spans="1:41" ht="48" customHeight="1" thickBot="1" x14ac:dyDescent="0.35">
      <c r="A10" s="22">
        <v>8</v>
      </c>
      <c r="B10" s="1" t="s">
        <v>39</v>
      </c>
      <c r="C10" s="2" t="s">
        <v>13</v>
      </c>
      <c r="D10" s="4">
        <v>0.39583333333333298</v>
      </c>
      <c r="E10" s="5">
        <v>0.91666666666666696</v>
      </c>
      <c r="F10" s="14">
        <f t="shared" si="6"/>
        <v>0.52083333333333393</v>
      </c>
      <c r="G10" s="15">
        <f>IFERROR(VLOOKUP(F10,Sayfa1!C:D,2,TRUE),"")</f>
        <v>8.3333333333333329E-2</v>
      </c>
      <c r="H10" s="16">
        <f t="shared" si="0"/>
        <v>0.43750000000000061</v>
      </c>
      <c r="I10" s="4">
        <v>0.58333333333333304</v>
      </c>
      <c r="J10" s="5">
        <v>0.91666666666666696</v>
      </c>
      <c r="K10" s="14">
        <f t="shared" si="7"/>
        <v>0.33333333333333393</v>
      </c>
      <c r="L10" s="15">
        <f>IFERROR(VLOOKUP(K10,Sayfa1!C:D,2,TRUE),"")</f>
        <v>4.1666666666666664E-2</v>
      </c>
      <c r="M10" s="16">
        <f t="shared" si="1"/>
        <v>0.29166666666666724</v>
      </c>
      <c r="N10" s="4">
        <v>0.58333333333333304</v>
      </c>
      <c r="O10" s="5">
        <v>0.91666666666666696</v>
      </c>
      <c r="P10" s="14">
        <f t="shared" si="8"/>
        <v>0.33333333333333393</v>
      </c>
      <c r="Q10" s="15">
        <f>IFERROR(VLOOKUP(P10,Sayfa1!C:D,2,TRUE),"")</f>
        <v>4.1666666666666664E-2</v>
      </c>
      <c r="R10" s="16">
        <f t="shared" si="2"/>
        <v>0.29166666666666724</v>
      </c>
      <c r="S10" s="4">
        <v>0.39583333333333298</v>
      </c>
      <c r="T10" s="5">
        <v>0.70833333333333304</v>
      </c>
      <c r="U10" s="14">
        <f t="shared" si="9"/>
        <v>0.31250000000000006</v>
      </c>
      <c r="V10" s="15">
        <f>IFERROR(VLOOKUP(U10,Sayfa1!C:D,2,TRUE),"")</f>
        <v>4.1666666666666664E-2</v>
      </c>
      <c r="W10" s="16">
        <f t="shared" si="3"/>
        <v>0.27083333333333337</v>
      </c>
      <c r="X10" s="4">
        <v>0</v>
      </c>
      <c r="Y10" s="5">
        <v>0</v>
      </c>
      <c r="Z10" s="14">
        <f t="shared" si="10"/>
        <v>0</v>
      </c>
      <c r="AA10" s="15">
        <f>IFERROR(VLOOKUP(Z10,Sayfa1!C:D,2,TRUE),"")</f>
        <v>0</v>
      </c>
      <c r="AB10" s="16">
        <f t="shared" si="4"/>
        <v>0</v>
      </c>
      <c r="AC10" s="4">
        <v>0.375</v>
      </c>
      <c r="AD10" s="5">
        <v>0.79166666666666696</v>
      </c>
      <c r="AE10" s="14">
        <f t="shared" si="11"/>
        <v>0.41666666666666696</v>
      </c>
      <c r="AF10" s="15">
        <f>IFERROR(VLOOKUP(AE10,Sayfa1!C:D,2,TRUE),"")</f>
        <v>6.25E-2</v>
      </c>
      <c r="AG10" s="16">
        <f t="shared" si="5"/>
        <v>0.35416666666666696</v>
      </c>
      <c r="AH10" s="4">
        <v>0.58333333333333304</v>
      </c>
      <c r="AI10" s="5">
        <v>0.91666666666666696</v>
      </c>
      <c r="AJ10" s="14">
        <f t="shared" si="12"/>
        <v>0.33333333333333393</v>
      </c>
      <c r="AK10" s="15">
        <f>IFERROR(VLOOKUP(AJ10,Sayfa1!C:D,2,TRUE),"")</f>
        <v>4.1666666666666664E-2</v>
      </c>
      <c r="AL10" s="16">
        <f t="shared" si="13"/>
        <v>0.29166666666666724</v>
      </c>
      <c r="AM10" s="17">
        <f t="shared" si="14"/>
        <v>1.9375000000000024</v>
      </c>
      <c r="AN10" s="18">
        <f>IFERROR(AM10-(Sayfa1!$I$1/24),"")</f>
        <v>6.2500000000002442E-2</v>
      </c>
      <c r="AO10" s="29"/>
    </row>
    <row r="11" spans="1:41" ht="48" customHeight="1" thickBot="1" x14ac:dyDescent="0.35">
      <c r="A11" s="22">
        <v>9</v>
      </c>
      <c r="B11" s="1"/>
      <c r="C11" s="2" t="s">
        <v>13</v>
      </c>
      <c r="D11" s="4"/>
      <c r="E11" s="5"/>
      <c r="F11" s="14">
        <f t="shared" si="6"/>
        <v>0</v>
      </c>
      <c r="G11" s="15">
        <f>IFERROR(VLOOKUP(F11,Sayfa1!C:D,2,TRUE),"")</f>
        <v>0</v>
      </c>
      <c r="H11" s="16">
        <f t="shared" si="0"/>
        <v>0</v>
      </c>
      <c r="I11" s="4"/>
      <c r="J11" s="5"/>
      <c r="K11" s="14">
        <f t="shared" si="7"/>
        <v>0</v>
      </c>
      <c r="L11" s="15">
        <f>IFERROR(VLOOKUP(K11,Sayfa1!C:D,2,TRUE),"")</f>
        <v>0</v>
      </c>
      <c r="M11" s="16">
        <f t="shared" si="1"/>
        <v>0</v>
      </c>
      <c r="N11" s="4"/>
      <c r="O11" s="5"/>
      <c r="P11" s="14">
        <f t="shared" si="8"/>
        <v>0</v>
      </c>
      <c r="Q11" s="15">
        <f>IFERROR(VLOOKUP(P11,Sayfa1!C:D,2,TRUE),"")</f>
        <v>0</v>
      </c>
      <c r="R11" s="16">
        <f t="shared" si="2"/>
        <v>0</v>
      </c>
      <c r="S11" s="4"/>
      <c r="T11" s="5"/>
      <c r="U11" s="14">
        <f t="shared" si="9"/>
        <v>0</v>
      </c>
      <c r="V11" s="15">
        <f>IFERROR(VLOOKUP(U11,Sayfa1!C:D,2,TRUE),"")</f>
        <v>0</v>
      </c>
      <c r="W11" s="16">
        <f t="shared" si="3"/>
        <v>0</v>
      </c>
      <c r="X11" s="4"/>
      <c r="Y11" s="5"/>
      <c r="Z11" s="14">
        <f t="shared" si="10"/>
        <v>0</v>
      </c>
      <c r="AA11" s="15">
        <f>IFERROR(VLOOKUP(Z11,Sayfa1!C:D,2,TRUE),"")</f>
        <v>0</v>
      </c>
      <c r="AB11" s="16">
        <f t="shared" si="4"/>
        <v>0</v>
      </c>
      <c r="AC11" s="4"/>
      <c r="AD11" s="5"/>
      <c r="AE11" s="14">
        <f t="shared" si="11"/>
        <v>0</v>
      </c>
      <c r="AF11" s="15">
        <f>IFERROR(VLOOKUP(AE11,Sayfa1!C:D,2,TRUE),"")</f>
        <v>0</v>
      </c>
      <c r="AG11" s="16">
        <f t="shared" si="5"/>
        <v>0</v>
      </c>
      <c r="AH11" s="4"/>
      <c r="AI11" s="5"/>
      <c r="AJ11" s="14">
        <f t="shared" si="12"/>
        <v>0</v>
      </c>
      <c r="AK11" s="15">
        <f>IFERROR(VLOOKUP(AJ11,Sayfa1!C:D,2,TRUE),"")</f>
        <v>0</v>
      </c>
      <c r="AL11" s="16">
        <f t="shared" si="13"/>
        <v>0</v>
      </c>
      <c r="AM11" s="17">
        <f t="shared" si="14"/>
        <v>0</v>
      </c>
      <c r="AN11" s="18">
        <f>IFERROR(AM11-(Sayfa1!$I$1/24),"")</f>
        <v>-1.875</v>
      </c>
      <c r="AO11" s="29"/>
    </row>
    <row r="12" spans="1:41" ht="48" customHeight="1" thickBot="1" x14ac:dyDescent="0.35">
      <c r="A12" s="22">
        <v>10</v>
      </c>
      <c r="B12" s="1"/>
      <c r="C12" s="2" t="s">
        <v>13</v>
      </c>
      <c r="D12" s="4"/>
      <c r="E12" s="5"/>
      <c r="F12" s="14">
        <f t="shared" si="6"/>
        <v>0</v>
      </c>
      <c r="G12" s="15">
        <f>IFERROR(VLOOKUP(F12,Sayfa1!C:D,2,TRUE),"")</f>
        <v>0</v>
      </c>
      <c r="H12" s="16">
        <f t="shared" si="0"/>
        <v>0</v>
      </c>
      <c r="I12" s="4"/>
      <c r="J12" s="5"/>
      <c r="K12" s="14">
        <f t="shared" si="7"/>
        <v>0</v>
      </c>
      <c r="L12" s="15">
        <f>IFERROR(VLOOKUP(K12,Sayfa1!C:D,2,TRUE),"")</f>
        <v>0</v>
      </c>
      <c r="M12" s="16">
        <f t="shared" si="1"/>
        <v>0</v>
      </c>
      <c r="N12" s="4"/>
      <c r="O12" s="5"/>
      <c r="P12" s="14">
        <f t="shared" si="8"/>
        <v>0</v>
      </c>
      <c r="Q12" s="15">
        <f>IFERROR(VLOOKUP(P12,Sayfa1!C:D,2,TRUE),"")</f>
        <v>0</v>
      </c>
      <c r="R12" s="16">
        <f t="shared" si="2"/>
        <v>0</v>
      </c>
      <c r="S12" s="4"/>
      <c r="T12" s="5"/>
      <c r="U12" s="14">
        <f t="shared" si="9"/>
        <v>0</v>
      </c>
      <c r="V12" s="15">
        <f>IFERROR(VLOOKUP(U12,Sayfa1!C:D,2,TRUE),"")</f>
        <v>0</v>
      </c>
      <c r="W12" s="16">
        <f t="shared" si="3"/>
        <v>0</v>
      </c>
      <c r="X12" s="4"/>
      <c r="Y12" s="5"/>
      <c r="Z12" s="14">
        <f t="shared" si="10"/>
        <v>0</v>
      </c>
      <c r="AA12" s="15">
        <f>IFERROR(VLOOKUP(Z12,Sayfa1!C:D,2,TRUE),"")</f>
        <v>0</v>
      </c>
      <c r="AB12" s="16">
        <f t="shared" si="4"/>
        <v>0</v>
      </c>
      <c r="AC12" s="4"/>
      <c r="AD12" s="5"/>
      <c r="AE12" s="14">
        <f t="shared" si="11"/>
        <v>0</v>
      </c>
      <c r="AF12" s="15">
        <f>IFERROR(VLOOKUP(AE12,Sayfa1!C:D,2,TRUE),"")</f>
        <v>0</v>
      </c>
      <c r="AG12" s="16">
        <f t="shared" si="5"/>
        <v>0</v>
      </c>
      <c r="AH12" s="4"/>
      <c r="AI12" s="5"/>
      <c r="AJ12" s="14">
        <f t="shared" si="12"/>
        <v>0</v>
      </c>
      <c r="AK12" s="15">
        <f>IFERROR(VLOOKUP(AJ12,Sayfa1!C:D,2,TRUE),"")</f>
        <v>0</v>
      </c>
      <c r="AL12" s="16">
        <f t="shared" si="13"/>
        <v>0</v>
      </c>
      <c r="AM12" s="17">
        <f t="shared" si="14"/>
        <v>0</v>
      </c>
      <c r="AN12" s="18">
        <f>IFERROR(AM12-(Sayfa1!$I$1/24),"")</f>
        <v>-1.875</v>
      </c>
      <c r="AO12" s="29"/>
    </row>
    <row r="13" spans="1:41" ht="48" customHeight="1" thickBot="1" x14ac:dyDescent="0.35">
      <c r="A13" s="22">
        <v>11</v>
      </c>
      <c r="B13" s="1"/>
      <c r="C13" s="2" t="s">
        <v>13</v>
      </c>
      <c r="D13" s="4"/>
      <c r="E13" s="5"/>
      <c r="F13" s="14">
        <f t="shared" si="6"/>
        <v>0</v>
      </c>
      <c r="G13" s="15">
        <f>IFERROR(VLOOKUP(F13,Sayfa1!C:D,2,TRUE),"")</f>
        <v>0</v>
      </c>
      <c r="H13" s="16">
        <f t="shared" si="0"/>
        <v>0</v>
      </c>
      <c r="I13" s="4"/>
      <c r="J13" s="5"/>
      <c r="K13" s="14">
        <f t="shared" si="7"/>
        <v>0</v>
      </c>
      <c r="L13" s="15">
        <f>IFERROR(VLOOKUP(K13,Sayfa1!C:D,2,TRUE),"")</f>
        <v>0</v>
      </c>
      <c r="M13" s="16">
        <f t="shared" si="1"/>
        <v>0</v>
      </c>
      <c r="N13" s="4"/>
      <c r="O13" s="5"/>
      <c r="P13" s="14">
        <f t="shared" si="8"/>
        <v>0</v>
      </c>
      <c r="Q13" s="15">
        <f>IFERROR(VLOOKUP(P13,Sayfa1!C:D,2,TRUE),"")</f>
        <v>0</v>
      </c>
      <c r="R13" s="16">
        <f t="shared" si="2"/>
        <v>0</v>
      </c>
      <c r="S13" s="4"/>
      <c r="T13" s="5"/>
      <c r="U13" s="14">
        <f t="shared" si="9"/>
        <v>0</v>
      </c>
      <c r="V13" s="15">
        <f>IFERROR(VLOOKUP(U13,Sayfa1!C:D,2,TRUE),"")</f>
        <v>0</v>
      </c>
      <c r="W13" s="16">
        <f t="shared" si="3"/>
        <v>0</v>
      </c>
      <c r="X13" s="4"/>
      <c r="Y13" s="5"/>
      <c r="Z13" s="14">
        <f t="shared" si="10"/>
        <v>0</v>
      </c>
      <c r="AA13" s="15">
        <f>IFERROR(VLOOKUP(Z13,Sayfa1!C:D,2,TRUE),"")</f>
        <v>0</v>
      </c>
      <c r="AB13" s="16">
        <f t="shared" si="4"/>
        <v>0</v>
      </c>
      <c r="AC13" s="4"/>
      <c r="AD13" s="5"/>
      <c r="AE13" s="14">
        <f t="shared" si="11"/>
        <v>0</v>
      </c>
      <c r="AF13" s="15">
        <f>IFERROR(VLOOKUP(AE13,Sayfa1!C:D,2,TRUE),"")</f>
        <v>0</v>
      </c>
      <c r="AG13" s="16">
        <f t="shared" si="5"/>
        <v>0</v>
      </c>
      <c r="AH13" s="4"/>
      <c r="AI13" s="5"/>
      <c r="AJ13" s="14">
        <f t="shared" si="12"/>
        <v>0</v>
      </c>
      <c r="AK13" s="15">
        <f>IFERROR(VLOOKUP(AJ13,Sayfa1!C:D,2,TRUE),"")</f>
        <v>0</v>
      </c>
      <c r="AL13" s="16">
        <f t="shared" si="13"/>
        <v>0</v>
      </c>
      <c r="AM13" s="17">
        <f t="shared" si="14"/>
        <v>0</v>
      </c>
      <c r="AN13" s="18">
        <f>IFERROR(AM13-(Sayfa1!$I$1/24),"")</f>
        <v>-1.875</v>
      </c>
      <c r="AO13" s="29"/>
    </row>
    <row r="14" spans="1:41" ht="48" customHeight="1" thickBot="1" x14ac:dyDescent="0.35">
      <c r="A14" s="23">
        <v>12</v>
      </c>
      <c r="B14" s="24"/>
      <c r="C14" s="2" t="s">
        <v>13</v>
      </c>
      <c r="D14" s="4"/>
      <c r="E14" s="5"/>
      <c r="F14" s="14">
        <f t="shared" si="6"/>
        <v>0</v>
      </c>
      <c r="G14" s="15">
        <f>IFERROR(VLOOKUP(F14,Sayfa1!C:D,2,TRUE),"")</f>
        <v>0</v>
      </c>
      <c r="H14" s="16">
        <f t="shared" si="0"/>
        <v>0</v>
      </c>
      <c r="I14" s="4"/>
      <c r="J14" s="5"/>
      <c r="K14" s="14">
        <f t="shared" si="7"/>
        <v>0</v>
      </c>
      <c r="L14" s="15">
        <f>IFERROR(VLOOKUP(K14,Sayfa1!C:D,2,TRUE),"")</f>
        <v>0</v>
      </c>
      <c r="M14" s="16">
        <f t="shared" si="1"/>
        <v>0</v>
      </c>
      <c r="N14" s="4"/>
      <c r="O14" s="5"/>
      <c r="P14" s="14">
        <f t="shared" si="8"/>
        <v>0</v>
      </c>
      <c r="Q14" s="15">
        <f>IFERROR(VLOOKUP(P14,Sayfa1!C:D,2,TRUE),"")</f>
        <v>0</v>
      </c>
      <c r="R14" s="16">
        <f t="shared" si="2"/>
        <v>0</v>
      </c>
      <c r="S14" s="4"/>
      <c r="T14" s="5"/>
      <c r="U14" s="14">
        <f t="shared" si="9"/>
        <v>0</v>
      </c>
      <c r="V14" s="15">
        <f>IFERROR(VLOOKUP(U14,Sayfa1!C:D,2,TRUE),"")</f>
        <v>0</v>
      </c>
      <c r="W14" s="16">
        <f t="shared" si="3"/>
        <v>0</v>
      </c>
      <c r="X14" s="4"/>
      <c r="Y14" s="5"/>
      <c r="Z14" s="14">
        <f t="shared" si="10"/>
        <v>0</v>
      </c>
      <c r="AA14" s="15">
        <f>IFERROR(VLOOKUP(Z14,Sayfa1!C:D,2,TRUE),"")</f>
        <v>0</v>
      </c>
      <c r="AB14" s="16">
        <f t="shared" si="4"/>
        <v>0</v>
      </c>
      <c r="AC14" s="4"/>
      <c r="AD14" s="5"/>
      <c r="AE14" s="14">
        <f t="shared" si="11"/>
        <v>0</v>
      </c>
      <c r="AF14" s="15">
        <f>IFERROR(VLOOKUP(AE14,Sayfa1!C:D,2,TRUE),"")</f>
        <v>0</v>
      </c>
      <c r="AG14" s="16">
        <f t="shared" si="5"/>
        <v>0</v>
      </c>
      <c r="AH14" s="4"/>
      <c r="AI14" s="5"/>
      <c r="AJ14" s="14">
        <f t="shared" si="12"/>
        <v>0</v>
      </c>
      <c r="AK14" s="15">
        <f>IFERROR(VLOOKUP(AJ14,Sayfa1!C:D,2,TRUE),"")</f>
        <v>0</v>
      </c>
      <c r="AL14" s="16">
        <f t="shared" si="13"/>
        <v>0</v>
      </c>
      <c r="AM14" s="17">
        <f t="shared" si="14"/>
        <v>0</v>
      </c>
      <c r="AN14" s="18">
        <f>IFERROR(AM14-(Sayfa1!$I$1/24),"")</f>
        <v>-1.875</v>
      </c>
      <c r="AO14" s="29"/>
    </row>
    <row r="15" spans="1:41" ht="15" thickTop="1" x14ac:dyDescent="0.3"/>
    <row r="19" spans="1:25" ht="15" thickBot="1" x14ac:dyDescent="0.35"/>
    <row r="20" spans="1:25" ht="55.05" customHeight="1" thickTop="1" thickBot="1" x14ac:dyDescent="0.35">
      <c r="A20" s="25" t="s">
        <v>0</v>
      </c>
      <c r="B20" s="28" t="s">
        <v>4</v>
      </c>
      <c r="C20" s="40" t="s">
        <v>18</v>
      </c>
      <c r="D20" s="40"/>
      <c r="E20" s="40" t="s">
        <v>15</v>
      </c>
      <c r="F20" s="40"/>
      <c r="G20" s="40" t="s">
        <v>16</v>
      </c>
      <c r="H20" s="40"/>
      <c r="I20" s="40" t="s">
        <v>17</v>
      </c>
      <c r="J20" s="41"/>
      <c r="L20" s="42" t="s">
        <v>20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4"/>
    </row>
    <row r="21" spans="1:25" ht="48" customHeight="1" thickBot="1" x14ac:dyDescent="0.35">
      <c r="A21" s="22">
        <v>1</v>
      </c>
      <c r="B21" s="26" t="s">
        <v>32</v>
      </c>
      <c r="C21" s="36" t="s">
        <v>42</v>
      </c>
      <c r="D21" s="36"/>
      <c r="E21" s="36" t="s">
        <v>44</v>
      </c>
      <c r="F21" s="36"/>
      <c r="G21" s="36">
        <v>0</v>
      </c>
      <c r="H21" s="36"/>
      <c r="I21" s="36">
        <v>57</v>
      </c>
      <c r="J21" s="37"/>
      <c r="L21" s="22">
        <v>1</v>
      </c>
      <c r="M21" s="38" t="s">
        <v>21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9"/>
    </row>
    <row r="22" spans="1:25" ht="48" customHeight="1" thickBot="1" x14ac:dyDescent="0.35">
      <c r="A22" s="22">
        <v>2</v>
      </c>
      <c r="B22" s="26" t="s">
        <v>40</v>
      </c>
      <c r="C22" s="36">
        <v>-4</v>
      </c>
      <c r="D22" s="36"/>
      <c r="E22" s="36">
        <v>3</v>
      </c>
      <c r="F22" s="36"/>
      <c r="G22" s="36">
        <v>0</v>
      </c>
      <c r="H22" s="36"/>
      <c r="I22" s="36">
        <v>-1</v>
      </c>
      <c r="J22" s="37"/>
      <c r="L22" s="22">
        <v>2</v>
      </c>
      <c r="M22" s="38" t="s">
        <v>22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9"/>
    </row>
    <row r="23" spans="1:25" ht="48" customHeight="1" thickBot="1" x14ac:dyDescent="0.35">
      <c r="A23" s="22">
        <v>3</v>
      </c>
      <c r="B23" s="26" t="s">
        <v>34</v>
      </c>
      <c r="C23" s="36" t="s">
        <v>43</v>
      </c>
      <c r="D23" s="36"/>
      <c r="E23" s="36" t="s">
        <v>47</v>
      </c>
      <c r="F23" s="36"/>
      <c r="G23" s="36">
        <v>0</v>
      </c>
      <c r="H23" s="36"/>
      <c r="I23" s="36">
        <v>2</v>
      </c>
      <c r="J23" s="37"/>
      <c r="L23" s="22">
        <v>3</v>
      </c>
      <c r="M23" s="38" t="s">
        <v>28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9"/>
    </row>
    <row r="24" spans="1:25" ht="48" customHeight="1" thickBot="1" x14ac:dyDescent="0.35">
      <c r="A24" s="22">
        <v>4</v>
      </c>
      <c r="B24" s="26" t="s">
        <v>35</v>
      </c>
      <c r="C24" s="36">
        <v>11</v>
      </c>
      <c r="D24" s="36"/>
      <c r="E24" s="36">
        <v>11</v>
      </c>
      <c r="F24" s="36"/>
      <c r="G24" s="36">
        <v>0</v>
      </c>
      <c r="H24" s="36"/>
      <c r="I24" s="36">
        <v>11</v>
      </c>
      <c r="J24" s="37"/>
      <c r="L24" s="22">
        <v>4</v>
      </c>
      <c r="M24" s="38" t="s">
        <v>29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9"/>
    </row>
    <row r="25" spans="1:25" ht="48" customHeight="1" thickBot="1" x14ac:dyDescent="0.35">
      <c r="A25" s="22">
        <v>5</v>
      </c>
      <c r="B25" s="26" t="s">
        <v>41</v>
      </c>
      <c r="C25" s="36">
        <v>0</v>
      </c>
      <c r="D25" s="36"/>
      <c r="E25" s="36" t="s">
        <v>45</v>
      </c>
      <c r="F25" s="36"/>
      <c r="G25" s="36">
        <v>0</v>
      </c>
      <c r="H25" s="36"/>
      <c r="I25" s="36" t="s">
        <v>45</v>
      </c>
      <c r="J25" s="37"/>
      <c r="L25" s="22">
        <v>5</v>
      </c>
      <c r="M25" s="38" t="s">
        <v>27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9"/>
    </row>
    <row r="26" spans="1:25" ht="48" customHeight="1" thickBot="1" x14ac:dyDescent="0.35">
      <c r="A26" s="22">
        <v>6</v>
      </c>
      <c r="B26" s="26" t="s">
        <v>37</v>
      </c>
      <c r="C26" s="36">
        <v>-11</v>
      </c>
      <c r="D26" s="36"/>
      <c r="E26" s="36">
        <v>4</v>
      </c>
      <c r="F26" s="36"/>
      <c r="G26" s="36">
        <v>0</v>
      </c>
      <c r="H26" s="36"/>
      <c r="I26" s="36">
        <v>-7</v>
      </c>
      <c r="J26" s="37"/>
      <c r="L26" s="22">
        <v>6</v>
      </c>
      <c r="M26" s="38" t="s">
        <v>26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9"/>
    </row>
    <row r="27" spans="1:25" ht="48" customHeight="1" thickBot="1" x14ac:dyDescent="0.35">
      <c r="A27" s="22">
        <v>7</v>
      </c>
      <c r="B27" s="26" t="s">
        <v>38</v>
      </c>
      <c r="C27" s="36">
        <v>0</v>
      </c>
      <c r="D27" s="36"/>
      <c r="E27" s="36" t="s">
        <v>43</v>
      </c>
      <c r="F27" s="36"/>
      <c r="G27" s="36">
        <v>0</v>
      </c>
      <c r="H27" s="36"/>
      <c r="I27" s="36" t="s">
        <v>43</v>
      </c>
      <c r="J27" s="37"/>
      <c r="L27" s="22">
        <v>7</v>
      </c>
      <c r="M27" s="38" t="s">
        <v>24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9"/>
    </row>
    <row r="28" spans="1:25" ht="48" customHeight="1" thickBot="1" x14ac:dyDescent="0.35">
      <c r="A28" s="22">
        <v>8</v>
      </c>
      <c r="B28" s="26" t="s">
        <v>39</v>
      </c>
      <c r="C28" s="36">
        <v>0</v>
      </c>
      <c r="D28" s="36"/>
      <c r="E28" s="36" t="s">
        <v>43</v>
      </c>
      <c r="F28" s="36"/>
      <c r="G28" s="36">
        <v>0</v>
      </c>
      <c r="H28" s="36"/>
      <c r="I28" s="36" t="s">
        <v>43</v>
      </c>
      <c r="J28" s="37"/>
      <c r="L28" s="22">
        <v>8</v>
      </c>
      <c r="M28" s="38" t="s">
        <v>23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9"/>
    </row>
    <row r="29" spans="1:25" ht="48" customHeight="1" thickBot="1" x14ac:dyDescent="0.35">
      <c r="A29" s="22">
        <v>9</v>
      </c>
      <c r="B29" s="26"/>
      <c r="C29" s="36"/>
      <c r="D29" s="36"/>
      <c r="E29" s="36"/>
      <c r="F29" s="36"/>
      <c r="G29" s="36"/>
      <c r="H29" s="36"/>
      <c r="I29" s="36"/>
      <c r="J29" s="37"/>
      <c r="L29" s="22">
        <v>9</v>
      </c>
      <c r="M29" s="38" t="s">
        <v>25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9"/>
    </row>
    <row r="30" spans="1:25" ht="48" customHeight="1" thickBot="1" x14ac:dyDescent="0.35">
      <c r="A30" s="23">
        <v>10</v>
      </c>
      <c r="B30" s="27"/>
      <c r="C30" s="32"/>
      <c r="D30" s="32"/>
      <c r="E30" s="32"/>
      <c r="F30" s="32"/>
      <c r="G30" s="32"/>
      <c r="H30" s="32"/>
      <c r="I30" s="32"/>
      <c r="J30" s="33"/>
      <c r="L30" s="23">
        <v>10</v>
      </c>
      <c r="M30" s="34" t="s">
        <v>30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5"/>
    </row>
    <row r="31" spans="1:25" ht="15" thickTop="1" x14ac:dyDescent="0.3"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5" spans="13:13" x14ac:dyDescent="0.3">
      <c r="M35" s="31"/>
    </row>
  </sheetData>
  <sheetProtection algorithmName="SHA-512" hashValue="U3Tmx2YyB3XG4SVBKwfISq9/jTRLK2cD8gXp748nG+M4PPHPsPIxOAihGM5XSkk9lMobEa7xinc765zRe6/n5Q==" saltValue="SfD1bj5UKp8cnwToAQeRRA==" spinCount="100000" sheet="1" objects="1" scenarios="1"/>
  <mergeCells count="67">
    <mergeCell ref="AO1:AO2"/>
    <mergeCell ref="A1:A2"/>
    <mergeCell ref="B1:B2"/>
    <mergeCell ref="C1:C2"/>
    <mergeCell ref="D1:H1"/>
    <mergeCell ref="I1:M1"/>
    <mergeCell ref="N1:R1"/>
    <mergeCell ref="S1:W1"/>
    <mergeCell ref="X1:AB1"/>
    <mergeCell ref="AC1:AG1"/>
    <mergeCell ref="AH1:AL1"/>
    <mergeCell ref="AM1:AN1"/>
    <mergeCell ref="C21:D21"/>
    <mergeCell ref="E21:F21"/>
    <mergeCell ref="G21:H21"/>
    <mergeCell ref="I21:J21"/>
    <mergeCell ref="M21:Y21"/>
    <mergeCell ref="C20:D20"/>
    <mergeCell ref="E20:F20"/>
    <mergeCell ref="G20:H20"/>
    <mergeCell ref="I20:J20"/>
    <mergeCell ref="L20:Y20"/>
    <mergeCell ref="C23:D23"/>
    <mergeCell ref="E23:F23"/>
    <mergeCell ref="G23:H23"/>
    <mergeCell ref="I23:J23"/>
    <mergeCell ref="M23:Y23"/>
    <mergeCell ref="C22:D22"/>
    <mergeCell ref="E22:F22"/>
    <mergeCell ref="G22:H22"/>
    <mergeCell ref="I22:J22"/>
    <mergeCell ref="M22:Y22"/>
    <mergeCell ref="C25:D25"/>
    <mergeCell ref="E25:F25"/>
    <mergeCell ref="G25:H25"/>
    <mergeCell ref="I25:J25"/>
    <mergeCell ref="M25:Y25"/>
    <mergeCell ref="C24:D24"/>
    <mergeCell ref="E24:F24"/>
    <mergeCell ref="G24:H24"/>
    <mergeCell ref="I24:J24"/>
    <mergeCell ref="M24:Y24"/>
    <mergeCell ref="C27:D27"/>
    <mergeCell ref="E27:F27"/>
    <mergeCell ref="G27:H27"/>
    <mergeCell ref="I27:J27"/>
    <mergeCell ref="M27:Y27"/>
    <mergeCell ref="C26:D26"/>
    <mergeCell ref="E26:F26"/>
    <mergeCell ref="G26:H26"/>
    <mergeCell ref="I26:J26"/>
    <mergeCell ref="M26:Y26"/>
    <mergeCell ref="C29:D29"/>
    <mergeCell ref="E29:F29"/>
    <mergeCell ref="G29:H29"/>
    <mergeCell ref="I29:J29"/>
    <mergeCell ref="M29:Y29"/>
    <mergeCell ref="C28:D28"/>
    <mergeCell ref="E28:F28"/>
    <mergeCell ref="G28:H28"/>
    <mergeCell ref="I28:J28"/>
    <mergeCell ref="M28:Y28"/>
    <mergeCell ref="C30:D30"/>
    <mergeCell ref="E30:F30"/>
    <mergeCell ref="G30:H30"/>
    <mergeCell ref="I30:J30"/>
    <mergeCell ref="M30:Y30"/>
  </mergeCells>
  <printOptions horizontalCentered="1" verticalCentered="1"/>
  <pageMargins left="0" right="0" top="0" bottom="0" header="0" footer="0"/>
  <pageSetup paperSize="9" scale="2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36BBD4-F04E-4F5B-81CD-22132C3303DA}">
          <x14:formula1>
            <xm:f>Sayfa1!$A$1:$A$48</xm:f>
          </x14:formula1>
          <xm:sqref>D3:E14 AC3:AD14 X3:Y14 S3:T14 N3:O14 I3:J14 AH3:AI14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5B9B-5CA1-46C0-873B-F491F9F76DD3}">
  <sheetPr>
    <pageSetUpPr fitToPage="1"/>
  </sheetPr>
  <dimension ref="A1:AO35"/>
  <sheetViews>
    <sheetView topLeftCell="A4" zoomScale="40" zoomScaleNormal="40" workbookViewId="0">
      <selection activeCell="G26" sqref="G26:H26"/>
    </sheetView>
  </sheetViews>
  <sheetFormatPr defaultColWidth="9.109375" defaultRowHeight="14.4" x14ac:dyDescent="0.3"/>
  <cols>
    <col min="1" max="1" width="8.44140625" style="13" bestFit="1" customWidth="1"/>
    <col min="2" max="2" width="25.77734375" style="13" customWidth="1"/>
    <col min="3" max="3" width="14.5546875" style="13" bestFit="1" customWidth="1"/>
    <col min="4" max="4" width="11.21875" style="13" bestFit="1" customWidth="1"/>
    <col min="5" max="5" width="11.21875" style="13" customWidth="1"/>
    <col min="6" max="7" width="11.21875" style="13" bestFit="1" customWidth="1"/>
    <col min="8" max="8" width="11.21875" style="13" customWidth="1"/>
    <col min="9" max="10" width="11.21875" style="13" bestFit="1" customWidth="1"/>
    <col min="11" max="11" width="11.21875" style="13" customWidth="1"/>
    <col min="12" max="38" width="11.21875" style="13" bestFit="1" customWidth="1"/>
    <col min="39" max="40" width="20.77734375" style="13" customWidth="1"/>
    <col min="41" max="41" width="40.77734375" style="13" customWidth="1"/>
    <col min="42" max="16384" width="9.109375" style="13"/>
  </cols>
  <sheetData>
    <row r="1" spans="1:41" s="7" customFormat="1" ht="25.5" customHeight="1" thickTop="1" thickBot="1" x14ac:dyDescent="0.35">
      <c r="A1" s="47" t="s">
        <v>0</v>
      </c>
      <c r="B1" s="49" t="s">
        <v>4</v>
      </c>
      <c r="C1" s="51" t="s">
        <v>1</v>
      </c>
      <c r="D1" s="53">
        <v>46279</v>
      </c>
      <c r="E1" s="54"/>
      <c r="F1" s="54"/>
      <c r="G1" s="54"/>
      <c r="H1" s="55"/>
      <c r="I1" s="53">
        <v>46280</v>
      </c>
      <c r="J1" s="54"/>
      <c r="K1" s="54"/>
      <c r="L1" s="54"/>
      <c r="M1" s="55"/>
      <c r="N1" s="53">
        <v>46281</v>
      </c>
      <c r="O1" s="54"/>
      <c r="P1" s="54"/>
      <c r="Q1" s="54"/>
      <c r="R1" s="55"/>
      <c r="S1" s="53">
        <v>46282</v>
      </c>
      <c r="T1" s="54"/>
      <c r="U1" s="54"/>
      <c r="V1" s="54"/>
      <c r="W1" s="55"/>
      <c r="X1" s="53">
        <v>46283</v>
      </c>
      <c r="Y1" s="54"/>
      <c r="Z1" s="54"/>
      <c r="AA1" s="54"/>
      <c r="AB1" s="55"/>
      <c r="AC1" s="53">
        <v>46284</v>
      </c>
      <c r="AD1" s="54"/>
      <c r="AE1" s="54"/>
      <c r="AF1" s="54"/>
      <c r="AG1" s="55"/>
      <c r="AH1" s="53">
        <v>46285</v>
      </c>
      <c r="AI1" s="54"/>
      <c r="AJ1" s="54"/>
      <c r="AK1" s="54"/>
      <c r="AL1" s="55"/>
      <c r="AM1" s="56" t="s">
        <v>12</v>
      </c>
      <c r="AN1" s="57"/>
      <c r="AO1" s="45" t="s">
        <v>19</v>
      </c>
    </row>
    <row r="2" spans="1:41" ht="41.4" customHeight="1" thickBot="1" x14ac:dyDescent="0.35">
      <c r="A2" s="48"/>
      <c r="B2" s="50"/>
      <c r="C2" s="52"/>
      <c r="D2" s="8" t="s">
        <v>2</v>
      </c>
      <c r="E2" s="9" t="s">
        <v>3</v>
      </c>
      <c r="F2" s="10" t="s">
        <v>7</v>
      </c>
      <c r="G2" s="10" t="s">
        <v>6</v>
      </c>
      <c r="H2" s="11" t="s">
        <v>8</v>
      </c>
      <c r="I2" s="8" t="s">
        <v>2</v>
      </c>
      <c r="J2" s="9" t="s">
        <v>3</v>
      </c>
      <c r="K2" s="10" t="s">
        <v>7</v>
      </c>
      <c r="L2" s="10" t="s">
        <v>6</v>
      </c>
      <c r="M2" s="11" t="s">
        <v>8</v>
      </c>
      <c r="N2" s="8" t="s">
        <v>2</v>
      </c>
      <c r="O2" s="9" t="s">
        <v>3</v>
      </c>
      <c r="P2" s="10" t="s">
        <v>7</v>
      </c>
      <c r="Q2" s="10" t="s">
        <v>6</v>
      </c>
      <c r="R2" s="11" t="s">
        <v>8</v>
      </c>
      <c r="S2" s="8" t="s">
        <v>2</v>
      </c>
      <c r="T2" s="9" t="s">
        <v>3</v>
      </c>
      <c r="U2" s="10" t="s">
        <v>7</v>
      </c>
      <c r="V2" s="10" t="s">
        <v>6</v>
      </c>
      <c r="W2" s="11" t="s">
        <v>8</v>
      </c>
      <c r="X2" s="8" t="s">
        <v>2</v>
      </c>
      <c r="Y2" s="9" t="s">
        <v>3</v>
      </c>
      <c r="Z2" s="10" t="s">
        <v>7</v>
      </c>
      <c r="AA2" s="10" t="s">
        <v>6</v>
      </c>
      <c r="AB2" s="11" t="s">
        <v>8</v>
      </c>
      <c r="AC2" s="8" t="s">
        <v>2</v>
      </c>
      <c r="AD2" s="9" t="s">
        <v>3</v>
      </c>
      <c r="AE2" s="10" t="s">
        <v>7</v>
      </c>
      <c r="AF2" s="10" t="s">
        <v>6</v>
      </c>
      <c r="AG2" s="11" t="s">
        <v>8</v>
      </c>
      <c r="AH2" s="8" t="s">
        <v>2</v>
      </c>
      <c r="AI2" s="9" t="s">
        <v>3</v>
      </c>
      <c r="AJ2" s="10" t="s">
        <v>7</v>
      </c>
      <c r="AK2" s="10" t="s">
        <v>6</v>
      </c>
      <c r="AL2" s="11" t="s">
        <v>8</v>
      </c>
      <c r="AM2" s="12" t="s">
        <v>10</v>
      </c>
      <c r="AN2" s="11" t="s">
        <v>11</v>
      </c>
      <c r="AO2" s="46"/>
    </row>
    <row r="3" spans="1:41" ht="48" customHeight="1" thickBot="1" x14ac:dyDescent="0.35">
      <c r="A3" s="22">
        <v>1</v>
      </c>
      <c r="B3" s="1" t="s">
        <v>32</v>
      </c>
      <c r="C3" s="2" t="s">
        <v>5</v>
      </c>
      <c r="D3" s="4">
        <v>0</v>
      </c>
      <c r="E3" s="5">
        <v>0</v>
      </c>
      <c r="F3" s="14">
        <f>E3-D3</f>
        <v>0</v>
      </c>
      <c r="G3" s="15">
        <f>IFERROR(VLOOKUP(F3,Sayfa1!C:D,2,TRUE),"")</f>
        <v>0</v>
      </c>
      <c r="H3" s="16">
        <f t="shared" ref="H3:H14" si="0">IFERROR(F3-G3,"")</f>
        <v>0</v>
      </c>
      <c r="I3" s="4">
        <v>0</v>
      </c>
      <c r="J3" s="5">
        <v>0</v>
      </c>
      <c r="K3" s="14">
        <f>J3-I3</f>
        <v>0</v>
      </c>
      <c r="L3" s="15">
        <f>IFERROR(VLOOKUP(K3,Sayfa1!C:D,2,TRUE),"")</f>
        <v>0</v>
      </c>
      <c r="M3" s="16">
        <f t="shared" ref="M3:M14" si="1">IFERROR(K3-L3,"")</f>
        <v>0</v>
      </c>
      <c r="N3" s="4">
        <v>0.58333333333333304</v>
      </c>
      <c r="O3" s="5">
        <v>0.91666666666666696</v>
      </c>
      <c r="P3" s="14">
        <f>O3-N3</f>
        <v>0.33333333333333393</v>
      </c>
      <c r="Q3" s="15">
        <f>IFERROR(VLOOKUP(P3,Sayfa1!C:D,2,TRUE),"")</f>
        <v>4.1666666666666664E-2</v>
      </c>
      <c r="R3" s="16">
        <f t="shared" ref="R3:R14" si="2">IFERROR(P3-Q3,"")</f>
        <v>0.29166666666666724</v>
      </c>
      <c r="S3" s="4">
        <v>0.45833333333333298</v>
      </c>
      <c r="T3" s="5">
        <v>0.91666666666666696</v>
      </c>
      <c r="U3" s="14">
        <f>T3-S3</f>
        <v>0.45833333333333398</v>
      </c>
      <c r="V3" s="15">
        <f>IFERROR(VLOOKUP(U3,Sayfa1!C:D,2,TRUE),"")</f>
        <v>6.25E-2</v>
      </c>
      <c r="W3" s="16">
        <f t="shared" ref="W3:W14" si="3">IFERROR(U3-V3,"")</f>
        <v>0.39583333333333398</v>
      </c>
      <c r="X3" s="4">
        <v>0.39583333333333298</v>
      </c>
      <c r="Y3" s="5">
        <v>0.72916666666666696</v>
      </c>
      <c r="Z3" s="14">
        <f>Y3-X3</f>
        <v>0.33333333333333398</v>
      </c>
      <c r="AA3" s="15">
        <f>IFERROR(VLOOKUP(Z3,Sayfa1!C:D,2,TRUE),"")</f>
        <v>4.1666666666666664E-2</v>
      </c>
      <c r="AB3" s="16">
        <f t="shared" ref="AB3:AB14" si="4">IFERROR(Z3-AA3,"")</f>
        <v>0.2916666666666673</v>
      </c>
      <c r="AC3" s="4">
        <v>0.39583333333333298</v>
      </c>
      <c r="AD3" s="5">
        <v>0.75</v>
      </c>
      <c r="AE3" s="14">
        <f>AD3-AC3</f>
        <v>0.35416666666666702</v>
      </c>
      <c r="AF3" s="15">
        <f>IFERROR(VLOOKUP(AE3,Sayfa1!C:D,2,TRUE),"")</f>
        <v>6.25E-2</v>
      </c>
      <c r="AG3" s="16">
        <f t="shared" ref="AG3:AG14" si="5">IFERROR(AE3-AF3,"")</f>
        <v>0.29166666666666702</v>
      </c>
      <c r="AH3" s="4">
        <v>0.54166666666666696</v>
      </c>
      <c r="AI3" s="5">
        <v>0.91666666666666696</v>
      </c>
      <c r="AJ3" s="14">
        <f>AI3-AH3</f>
        <v>0.375</v>
      </c>
      <c r="AK3" s="15">
        <f>IFERROR(VLOOKUP(AJ3,Sayfa1!C:D,2,TRUE),"")</f>
        <v>6.25E-2</v>
      </c>
      <c r="AL3" s="16">
        <f>IFERROR(AJ3-AK3,"")</f>
        <v>0.3125</v>
      </c>
      <c r="AM3" s="17">
        <f>IFERROR(H3+M3+R3+W3+AB3+AG3+AL3,"")</f>
        <v>1.5833333333333355</v>
      </c>
      <c r="AN3" s="18">
        <f>IFERROR(AM3-(Sayfa1!$I$1/24),"")</f>
        <v>-0.29166666666666452</v>
      </c>
      <c r="AO3" s="29"/>
    </row>
    <row r="4" spans="1:41" ht="48" customHeight="1" thickBot="1" x14ac:dyDescent="0.35">
      <c r="A4" s="22">
        <v>2</v>
      </c>
      <c r="B4" s="1" t="s">
        <v>33</v>
      </c>
      <c r="C4" s="2" t="s">
        <v>46</v>
      </c>
      <c r="D4" s="4">
        <v>0.58333333333333304</v>
      </c>
      <c r="E4" s="5">
        <v>0.91666666666666696</v>
      </c>
      <c r="F4" s="14">
        <f t="shared" ref="F4:F14" si="6">E4-D4</f>
        <v>0.33333333333333393</v>
      </c>
      <c r="G4" s="15">
        <f>IFERROR(VLOOKUP(F4,Sayfa1!C:D,2,TRUE),"")</f>
        <v>4.1666666666666664E-2</v>
      </c>
      <c r="H4" s="16">
        <f t="shared" si="0"/>
        <v>0.29166666666666724</v>
      </c>
      <c r="I4" s="4">
        <v>0.39583333333333298</v>
      </c>
      <c r="J4" s="5">
        <v>0.91666666666666696</v>
      </c>
      <c r="K4" s="14">
        <f t="shared" ref="K4:K14" si="7">J4-I4</f>
        <v>0.52083333333333393</v>
      </c>
      <c r="L4" s="15">
        <f>IFERROR(VLOOKUP(K4,Sayfa1!C:D,2,TRUE),"")</f>
        <v>8.3333333333333329E-2</v>
      </c>
      <c r="M4" s="16">
        <f t="shared" si="1"/>
        <v>0.43750000000000061</v>
      </c>
      <c r="N4" s="4">
        <v>0.39583333333333298</v>
      </c>
      <c r="O4" s="5">
        <v>0.72916666666666696</v>
      </c>
      <c r="P4" s="14">
        <f t="shared" ref="P4:P14" si="8">O4-N4</f>
        <v>0.33333333333333398</v>
      </c>
      <c r="Q4" s="15">
        <f>IFERROR(VLOOKUP(P4,Sayfa1!C:D,2,TRUE),"")</f>
        <v>4.1666666666666664E-2</v>
      </c>
      <c r="R4" s="16">
        <f t="shared" si="2"/>
        <v>0.2916666666666673</v>
      </c>
      <c r="S4" s="4">
        <v>0</v>
      </c>
      <c r="T4" s="5">
        <v>0</v>
      </c>
      <c r="U4" s="14">
        <f t="shared" ref="U4:U14" si="9">T4-S4</f>
        <v>0</v>
      </c>
      <c r="V4" s="15">
        <f>IFERROR(VLOOKUP(U4,Sayfa1!C:D,2,TRUE),"")</f>
        <v>0</v>
      </c>
      <c r="W4" s="16">
        <f t="shared" si="3"/>
        <v>0</v>
      </c>
      <c r="X4" s="4">
        <v>0.60416666666666696</v>
      </c>
      <c r="Y4" s="5">
        <v>0.91666666666666696</v>
      </c>
      <c r="Z4" s="14">
        <f t="shared" ref="Z4:Z14" si="10">Y4-X4</f>
        <v>0.3125</v>
      </c>
      <c r="AA4" s="15">
        <f>IFERROR(VLOOKUP(Z4,Sayfa1!C:D,2,TRUE),"")</f>
        <v>4.1666666666666664E-2</v>
      </c>
      <c r="AB4" s="16">
        <f t="shared" si="4"/>
        <v>0.27083333333333331</v>
      </c>
      <c r="AC4" s="4">
        <v>0.58333333333333304</v>
      </c>
      <c r="AD4" s="5">
        <v>0.91666666666666696</v>
      </c>
      <c r="AE4" s="14">
        <f t="shared" ref="AE4:AE14" si="11">AD4-AC4</f>
        <v>0.33333333333333393</v>
      </c>
      <c r="AF4" s="15">
        <f>IFERROR(VLOOKUP(AE4,Sayfa1!C:D,2,TRUE),"")</f>
        <v>4.1666666666666664E-2</v>
      </c>
      <c r="AG4" s="16">
        <f t="shared" si="5"/>
        <v>0.29166666666666724</v>
      </c>
      <c r="AH4" s="4">
        <v>0.39583333333333298</v>
      </c>
      <c r="AI4" s="5">
        <v>0.75</v>
      </c>
      <c r="AJ4" s="14">
        <f t="shared" ref="AJ4:AJ14" si="12">AI4-AH4</f>
        <v>0.35416666666666702</v>
      </c>
      <c r="AK4" s="15">
        <f>IFERROR(VLOOKUP(AJ4,Sayfa1!C:D,2,TRUE),"")</f>
        <v>6.25E-2</v>
      </c>
      <c r="AL4" s="16">
        <f t="shared" ref="AL4:AL14" si="13">IFERROR(AJ4-AK4,"")</f>
        <v>0.29166666666666702</v>
      </c>
      <c r="AM4" s="17">
        <f t="shared" ref="AM4:AM14" si="14">IFERROR(H4+M4+R4+W4+AB4+AG4+AL4,"")</f>
        <v>1.8750000000000027</v>
      </c>
      <c r="AN4" s="18">
        <f>IFERROR(AM4-(Sayfa1!$I$1/24),"")</f>
        <v>2.6645352591003757E-15</v>
      </c>
      <c r="AO4" s="29"/>
    </row>
    <row r="5" spans="1:41" ht="48" customHeight="1" thickBot="1" x14ac:dyDescent="0.35">
      <c r="A5" s="22">
        <v>3</v>
      </c>
      <c r="B5" s="1" t="s">
        <v>34</v>
      </c>
      <c r="C5" s="2" t="s">
        <v>13</v>
      </c>
      <c r="D5" s="4">
        <v>0.39583333333333298</v>
      </c>
      <c r="E5" s="5">
        <v>0.72916666666666696</v>
      </c>
      <c r="F5" s="14">
        <f t="shared" si="6"/>
        <v>0.33333333333333398</v>
      </c>
      <c r="G5" s="15">
        <f>IFERROR(VLOOKUP(F5,Sayfa1!C:D,2,TRUE),"")</f>
        <v>4.1666666666666664E-2</v>
      </c>
      <c r="H5" s="16">
        <f t="shared" si="0"/>
        <v>0.2916666666666673</v>
      </c>
      <c r="I5" s="4">
        <v>0.39583333333333298</v>
      </c>
      <c r="J5" s="5">
        <v>0.91666666666666696</v>
      </c>
      <c r="K5" s="14">
        <f t="shared" si="7"/>
        <v>0.52083333333333393</v>
      </c>
      <c r="L5" s="15">
        <f>IFERROR(VLOOKUP(K5,Sayfa1!C:D,2,TRUE),"")</f>
        <v>8.3333333333333329E-2</v>
      </c>
      <c r="M5" s="16">
        <f t="shared" si="1"/>
        <v>0.43750000000000061</v>
      </c>
      <c r="N5" s="4">
        <v>0.39583333333333298</v>
      </c>
      <c r="O5" s="5">
        <v>0.72916666666666696</v>
      </c>
      <c r="P5" s="14">
        <f t="shared" si="8"/>
        <v>0.33333333333333398</v>
      </c>
      <c r="Q5" s="15">
        <f>IFERROR(VLOOKUP(P5,Sayfa1!C:D,2,TRUE),"")</f>
        <v>4.1666666666666664E-2</v>
      </c>
      <c r="R5" s="16">
        <f t="shared" si="2"/>
        <v>0.2916666666666673</v>
      </c>
      <c r="S5" s="4">
        <v>0</v>
      </c>
      <c r="T5" s="5">
        <v>0</v>
      </c>
      <c r="U5" s="14">
        <f t="shared" si="9"/>
        <v>0</v>
      </c>
      <c r="V5" s="15">
        <f>IFERROR(VLOOKUP(U5,Sayfa1!C:D,2,TRUE),"")</f>
        <v>0</v>
      </c>
      <c r="W5" s="16">
        <f t="shared" si="3"/>
        <v>0</v>
      </c>
      <c r="X5" s="4">
        <v>0.58333333333333304</v>
      </c>
      <c r="Y5" s="5">
        <v>0.91666666666666696</v>
      </c>
      <c r="Z5" s="14">
        <f t="shared" si="10"/>
        <v>0.33333333333333393</v>
      </c>
      <c r="AA5" s="15">
        <f>IFERROR(VLOOKUP(Z5,Sayfa1!C:D,2,TRUE),"")</f>
        <v>4.1666666666666664E-2</v>
      </c>
      <c r="AB5" s="16">
        <f t="shared" si="4"/>
        <v>0.29166666666666724</v>
      </c>
      <c r="AC5" s="4">
        <v>0.60416666666666696</v>
      </c>
      <c r="AD5" s="5">
        <v>0.91666666666666696</v>
      </c>
      <c r="AE5" s="14">
        <f t="shared" si="11"/>
        <v>0.3125</v>
      </c>
      <c r="AF5" s="15">
        <f>IFERROR(VLOOKUP(AE5,Sayfa1!C:D,2,TRUE),"")</f>
        <v>4.1666666666666664E-2</v>
      </c>
      <c r="AG5" s="16">
        <f t="shared" si="5"/>
        <v>0.27083333333333331</v>
      </c>
      <c r="AH5" s="4">
        <v>0.39583333333333298</v>
      </c>
      <c r="AI5" s="5">
        <v>0.72916666666666696</v>
      </c>
      <c r="AJ5" s="14">
        <f t="shared" si="12"/>
        <v>0.33333333333333398</v>
      </c>
      <c r="AK5" s="15">
        <f>IFERROR(VLOOKUP(AJ5,Sayfa1!C:D,2,TRUE),"")</f>
        <v>4.1666666666666664E-2</v>
      </c>
      <c r="AL5" s="16">
        <f t="shared" si="13"/>
        <v>0.2916666666666673</v>
      </c>
      <c r="AM5" s="17">
        <f t="shared" si="14"/>
        <v>1.8750000000000031</v>
      </c>
      <c r="AN5" s="18">
        <f>IFERROR(AM5-(Sayfa1!$I$1/24),"")</f>
        <v>3.1086244689504383E-15</v>
      </c>
      <c r="AO5" s="29"/>
    </row>
    <row r="6" spans="1:41" ht="48" customHeight="1" thickBot="1" x14ac:dyDescent="0.35">
      <c r="A6" s="22">
        <v>4</v>
      </c>
      <c r="B6" s="1" t="s">
        <v>35</v>
      </c>
      <c r="C6" s="2" t="s">
        <v>13</v>
      </c>
      <c r="D6" s="4">
        <v>0.39583333333333298</v>
      </c>
      <c r="E6" s="5">
        <v>0.72916666666666696</v>
      </c>
      <c r="F6" s="14">
        <f t="shared" si="6"/>
        <v>0.33333333333333398</v>
      </c>
      <c r="G6" s="15">
        <f>IFERROR(VLOOKUP(F6,Sayfa1!C:D,2,TRUE),"")</f>
        <v>4.1666666666666664E-2</v>
      </c>
      <c r="H6" s="16">
        <f t="shared" si="0"/>
        <v>0.2916666666666673</v>
      </c>
      <c r="I6" s="4">
        <v>0</v>
      </c>
      <c r="J6" s="5">
        <v>0</v>
      </c>
      <c r="K6" s="14">
        <f t="shared" si="7"/>
        <v>0</v>
      </c>
      <c r="L6" s="15">
        <f>IFERROR(VLOOKUP(K6,Sayfa1!C:D,2,TRUE),"")</f>
        <v>0</v>
      </c>
      <c r="M6" s="16">
        <f t="shared" si="1"/>
        <v>0</v>
      </c>
      <c r="N6" s="4">
        <v>0.58333333333333304</v>
      </c>
      <c r="O6" s="5">
        <v>0.91666666666666696</v>
      </c>
      <c r="P6" s="14">
        <f t="shared" si="8"/>
        <v>0.33333333333333393</v>
      </c>
      <c r="Q6" s="15">
        <f>IFERROR(VLOOKUP(P6,Sayfa1!C:D,2,TRUE),"")</f>
        <v>4.1666666666666664E-2</v>
      </c>
      <c r="R6" s="16">
        <f t="shared" si="2"/>
        <v>0.29166666666666724</v>
      </c>
      <c r="S6" s="4">
        <v>0.39583333333333298</v>
      </c>
      <c r="T6" s="5">
        <v>0.91666666666666696</v>
      </c>
      <c r="U6" s="14">
        <f t="shared" si="9"/>
        <v>0.52083333333333393</v>
      </c>
      <c r="V6" s="15">
        <f>IFERROR(VLOOKUP(U6,Sayfa1!C:D,2,TRUE),"")</f>
        <v>8.3333333333333329E-2</v>
      </c>
      <c r="W6" s="16">
        <f t="shared" si="3"/>
        <v>0.43750000000000061</v>
      </c>
      <c r="X6" s="4">
        <v>0.39583333333333298</v>
      </c>
      <c r="Y6" s="5">
        <v>0.72916666666666696</v>
      </c>
      <c r="Z6" s="14">
        <f t="shared" si="10"/>
        <v>0.33333333333333398</v>
      </c>
      <c r="AA6" s="15">
        <f>IFERROR(VLOOKUP(Z6,Sayfa1!C:D,2,TRUE),"")</f>
        <v>4.1666666666666664E-2</v>
      </c>
      <c r="AB6" s="16">
        <f t="shared" si="4"/>
        <v>0.2916666666666673</v>
      </c>
      <c r="AC6" s="4">
        <v>0.39583333333333298</v>
      </c>
      <c r="AD6" s="5">
        <v>0.72916666666666696</v>
      </c>
      <c r="AE6" s="14">
        <f t="shared" si="11"/>
        <v>0.33333333333333398</v>
      </c>
      <c r="AF6" s="15">
        <f>IFERROR(VLOOKUP(AE6,Sayfa1!C:D,2,TRUE),"")</f>
        <v>4.1666666666666664E-2</v>
      </c>
      <c r="AG6" s="16">
        <f t="shared" si="5"/>
        <v>0.2916666666666673</v>
      </c>
      <c r="AH6" s="4">
        <v>0.60416666666666696</v>
      </c>
      <c r="AI6" s="5">
        <v>0.91666666666666696</v>
      </c>
      <c r="AJ6" s="14">
        <f t="shared" si="12"/>
        <v>0.3125</v>
      </c>
      <c r="AK6" s="15">
        <f>IFERROR(VLOOKUP(AJ6,Sayfa1!C:D,2,TRUE),"")</f>
        <v>4.1666666666666664E-2</v>
      </c>
      <c r="AL6" s="16">
        <f t="shared" si="13"/>
        <v>0.27083333333333331</v>
      </c>
      <c r="AM6" s="17">
        <f t="shared" si="14"/>
        <v>1.8750000000000033</v>
      </c>
      <c r="AN6" s="18">
        <f>IFERROR(AM6-(Sayfa1!$I$1/24),"")</f>
        <v>3.3306690738754696E-15</v>
      </c>
      <c r="AO6" s="29"/>
    </row>
    <row r="7" spans="1:41" ht="48" customHeight="1" thickBot="1" x14ac:dyDescent="0.35">
      <c r="A7" s="22">
        <v>5</v>
      </c>
      <c r="B7" s="1" t="s">
        <v>36</v>
      </c>
      <c r="C7" s="2" t="s">
        <v>13</v>
      </c>
      <c r="D7" s="4">
        <v>0.58333333333333304</v>
      </c>
      <c r="E7" s="5">
        <v>0.91666666666666696</v>
      </c>
      <c r="F7" s="14">
        <f t="shared" si="6"/>
        <v>0.33333333333333393</v>
      </c>
      <c r="G7" s="15">
        <f>IFERROR(VLOOKUP(F7,Sayfa1!C:D,2,TRUE),"")</f>
        <v>4.1666666666666664E-2</v>
      </c>
      <c r="H7" s="16">
        <f t="shared" si="0"/>
        <v>0.29166666666666724</v>
      </c>
      <c r="I7" s="4">
        <v>0.39583333333333298</v>
      </c>
      <c r="J7" s="5">
        <v>0.70833333333333304</v>
      </c>
      <c r="K7" s="14">
        <f t="shared" si="7"/>
        <v>0.31250000000000006</v>
      </c>
      <c r="L7" s="15">
        <f>IFERROR(VLOOKUP(K7,Sayfa1!C:D,2,TRUE),"")</f>
        <v>4.1666666666666664E-2</v>
      </c>
      <c r="M7" s="16">
        <f t="shared" si="1"/>
        <v>0.27083333333333337</v>
      </c>
      <c r="N7" s="4">
        <v>0</v>
      </c>
      <c r="O7" s="5">
        <v>0</v>
      </c>
      <c r="P7" s="14">
        <f t="shared" si="8"/>
        <v>0</v>
      </c>
      <c r="Q7" s="15">
        <f>IFERROR(VLOOKUP(P7,Sayfa1!C:D,2,TRUE),"")</f>
        <v>0</v>
      </c>
      <c r="R7" s="16">
        <f t="shared" si="2"/>
        <v>0</v>
      </c>
      <c r="S7" s="4">
        <v>0.58333333333333304</v>
      </c>
      <c r="T7" s="5">
        <v>0.91666666666666696</v>
      </c>
      <c r="U7" s="14">
        <f t="shared" si="9"/>
        <v>0.33333333333333393</v>
      </c>
      <c r="V7" s="15">
        <f>IFERROR(VLOOKUP(U7,Sayfa1!C:D,2,TRUE),"")</f>
        <v>4.1666666666666664E-2</v>
      </c>
      <c r="W7" s="16">
        <f t="shared" si="3"/>
        <v>0.29166666666666724</v>
      </c>
      <c r="X7" s="4">
        <v>0.39583333333333298</v>
      </c>
      <c r="Y7" s="5">
        <v>0.91666666666666696</v>
      </c>
      <c r="Z7" s="14">
        <f t="shared" si="10"/>
        <v>0.52083333333333393</v>
      </c>
      <c r="AA7" s="15">
        <f>IFERROR(VLOOKUP(Z7,Sayfa1!C:D,2,TRUE),"")</f>
        <v>8.3333333333333329E-2</v>
      </c>
      <c r="AB7" s="16">
        <f t="shared" si="4"/>
        <v>0.43750000000000061</v>
      </c>
      <c r="AC7" s="4">
        <v>0.39583333333333298</v>
      </c>
      <c r="AD7" s="5">
        <v>0.72916666666666696</v>
      </c>
      <c r="AE7" s="14">
        <f t="shared" si="11"/>
        <v>0.33333333333333398</v>
      </c>
      <c r="AF7" s="15">
        <f>IFERROR(VLOOKUP(AE7,Sayfa1!C:D,2,TRUE),"")</f>
        <v>4.1666666666666664E-2</v>
      </c>
      <c r="AG7" s="16">
        <f t="shared" si="5"/>
        <v>0.2916666666666673</v>
      </c>
      <c r="AH7" s="4">
        <v>0.58333333333333304</v>
      </c>
      <c r="AI7" s="5">
        <v>0.91666666666666696</v>
      </c>
      <c r="AJ7" s="14">
        <f t="shared" si="12"/>
        <v>0.33333333333333393</v>
      </c>
      <c r="AK7" s="15">
        <f>IFERROR(VLOOKUP(AJ7,Sayfa1!C:D,2,TRUE),"")</f>
        <v>4.1666666666666664E-2</v>
      </c>
      <c r="AL7" s="16">
        <f t="shared" si="13"/>
        <v>0.29166666666666724</v>
      </c>
      <c r="AM7" s="17">
        <f t="shared" si="14"/>
        <v>1.8750000000000029</v>
      </c>
      <c r="AN7" s="18">
        <f>IFERROR(AM7-(Sayfa1!$I$1/24),"")</f>
        <v>2.886579864025407E-15</v>
      </c>
      <c r="AO7" s="29"/>
    </row>
    <row r="8" spans="1:41" ht="48" customHeight="1" thickBot="1" x14ac:dyDescent="0.35">
      <c r="A8" s="22">
        <v>6</v>
      </c>
      <c r="B8" s="1" t="s">
        <v>37</v>
      </c>
      <c r="C8" s="2" t="s">
        <v>13</v>
      </c>
      <c r="D8" s="4">
        <v>0</v>
      </c>
      <c r="E8" s="5">
        <v>0</v>
      </c>
      <c r="F8" s="14">
        <f t="shared" si="6"/>
        <v>0</v>
      </c>
      <c r="G8" s="15">
        <f>IFERROR(VLOOKUP(F8,Sayfa1!C:D,2,TRUE),"")</f>
        <v>0</v>
      </c>
      <c r="H8" s="16">
        <f t="shared" si="0"/>
        <v>0</v>
      </c>
      <c r="I8" s="4">
        <v>0.5</v>
      </c>
      <c r="J8" s="5">
        <v>0.91666666666666696</v>
      </c>
      <c r="K8" s="14">
        <f t="shared" si="7"/>
        <v>0.41666666666666696</v>
      </c>
      <c r="L8" s="15">
        <f>IFERROR(VLOOKUP(K8,Sayfa1!C:D,2,TRUE),"")</f>
        <v>6.25E-2</v>
      </c>
      <c r="M8" s="16">
        <f t="shared" si="1"/>
        <v>0.35416666666666696</v>
      </c>
      <c r="N8" s="4">
        <v>0.5</v>
      </c>
      <c r="O8" s="5">
        <v>0.83333333333333304</v>
      </c>
      <c r="P8" s="14">
        <f t="shared" si="8"/>
        <v>0.33333333333333304</v>
      </c>
      <c r="Q8" s="15">
        <f>IFERROR(VLOOKUP(P8,Sayfa1!C:D,2,TRUE),"")</f>
        <v>4.1666666666666664E-2</v>
      </c>
      <c r="R8" s="16">
        <f t="shared" si="2"/>
        <v>0.29166666666666635</v>
      </c>
      <c r="S8" s="4">
        <v>0.5</v>
      </c>
      <c r="T8" s="5">
        <v>0.83333333333333304</v>
      </c>
      <c r="U8" s="14">
        <f t="shared" si="9"/>
        <v>0.33333333333333304</v>
      </c>
      <c r="V8" s="15">
        <f>IFERROR(VLOOKUP(U8,Sayfa1!C:D,2,TRUE),"")</f>
        <v>4.1666666666666664E-2</v>
      </c>
      <c r="W8" s="16">
        <f t="shared" si="3"/>
        <v>0.29166666666666635</v>
      </c>
      <c r="X8" s="4">
        <v>0.39583333333333298</v>
      </c>
      <c r="Y8" s="5">
        <v>0.97916666666666696</v>
      </c>
      <c r="Z8" s="14">
        <f t="shared" si="10"/>
        <v>0.58333333333333393</v>
      </c>
      <c r="AA8" s="15">
        <f>IFERROR(VLOOKUP(Z8,Sayfa1!C:D,2,TRUE),"")</f>
        <v>8.3333333333333329E-2</v>
      </c>
      <c r="AB8" s="16">
        <f t="shared" si="4"/>
        <v>0.50000000000000056</v>
      </c>
      <c r="AC8" s="4">
        <v>0.35416666666666702</v>
      </c>
      <c r="AD8" s="5">
        <v>0.91666666666666696</v>
      </c>
      <c r="AE8" s="14">
        <f t="shared" si="11"/>
        <v>0.5625</v>
      </c>
      <c r="AF8" s="15">
        <f>IFERROR(VLOOKUP(AE8,Sayfa1!C:D,2,TRUE),"")</f>
        <v>8.3333333333333329E-2</v>
      </c>
      <c r="AG8" s="16">
        <f t="shared" si="5"/>
        <v>0.47916666666666669</v>
      </c>
      <c r="AH8" s="4">
        <v>0</v>
      </c>
      <c r="AI8" s="5">
        <v>0</v>
      </c>
      <c r="AJ8" s="14">
        <f t="shared" si="12"/>
        <v>0</v>
      </c>
      <c r="AK8" s="15">
        <f>IFERROR(VLOOKUP(AJ8,Sayfa1!C:D,2,TRUE),"")</f>
        <v>0</v>
      </c>
      <c r="AL8" s="16">
        <f t="shared" si="13"/>
        <v>0</v>
      </c>
      <c r="AM8" s="17">
        <f t="shared" si="14"/>
        <v>1.9166666666666667</v>
      </c>
      <c r="AN8" s="18">
        <f>IFERROR(AM8-(Sayfa1!$I$1/24),"")</f>
        <v>4.1666666666666741E-2</v>
      </c>
      <c r="AO8" s="29"/>
    </row>
    <row r="9" spans="1:41" ht="48" customHeight="1" thickBot="1" x14ac:dyDescent="0.35">
      <c r="A9" s="22">
        <v>7</v>
      </c>
      <c r="B9" s="1" t="s">
        <v>38</v>
      </c>
      <c r="C9" s="2" t="s">
        <v>13</v>
      </c>
      <c r="D9" s="4">
        <v>0.58333333333333304</v>
      </c>
      <c r="E9" s="5">
        <v>0.91666666666666696</v>
      </c>
      <c r="F9" s="14">
        <f t="shared" si="6"/>
        <v>0.33333333333333393</v>
      </c>
      <c r="G9" s="15">
        <f>IFERROR(VLOOKUP(F9,Sayfa1!C:D,2,TRUE),"")</f>
        <v>4.1666666666666664E-2</v>
      </c>
      <c r="H9" s="16">
        <f t="shared" si="0"/>
        <v>0.29166666666666724</v>
      </c>
      <c r="I9" s="4">
        <v>0.58333333333333304</v>
      </c>
      <c r="J9" s="5">
        <v>0.91666666666666696</v>
      </c>
      <c r="K9" s="14">
        <f t="shared" si="7"/>
        <v>0.33333333333333393</v>
      </c>
      <c r="L9" s="15">
        <f>IFERROR(VLOOKUP(K9,Sayfa1!C:D,2,TRUE),"")</f>
        <v>4.1666666666666664E-2</v>
      </c>
      <c r="M9" s="16">
        <f t="shared" si="1"/>
        <v>0.29166666666666724</v>
      </c>
      <c r="N9" s="4">
        <v>0.5</v>
      </c>
      <c r="O9" s="5">
        <v>0.83333333333333304</v>
      </c>
      <c r="P9" s="14">
        <f t="shared" si="8"/>
        <v>0.33333333333333304</v>
      </c>
      <c r="Q9" s="15">
        <f>IFERROR(VLOOKUP(P9,Sayfa1!C:D,2,TRUE),"")</f>
        <v>4.1666666666666664E-2</v>
      </c>
      <c r="R9" s="16">
        <f t="shared" si="2"/>
        <v>0.29166666666666635</v>
      </c>
      <c r="S9" s="4">
        <v>0.39583333333333298</v>
      </c>
      <c r="T9" s="5">
        <v>0.72916666666666696</v>
      </c>
      <c r="U9" s="14">
        <f t="shared" si="9"/>
        <v>0.33333333333333398</v>
      </c>
      <c r="V9" s="15">
        <f>IFERROR(VLOOKUP(U9,Sayfa1!C:D,2,TRUE),"")</f>
        <v>4.1666666666666664E-2</v>
      </c>
      <c r="W9" s="16">
        <f t="shared" si="3"/>
        <v>0.2916666666666673</v>
      </c>
      <c r="X9" s="4">
        <v>0</v>
      </c>
      <c r="Y9" s="5">
        <v>0</v>
      </c>
      <c r="Z9" s="14">
        <f t="shared" si="10"/>
        <v>0</v>
      </c>
      <c r="AA9" s="15">
        <f>IFERROR(VLOOKUP(Z9,Sayfa1!C:D,2,TRUE),"")</f>
        <v>0</v>
      </c>
      <c r="AB9" s="16">
        <f t="shared" si="4"/>
        <v>0</v>
      </c>
      <c r="AC9" s="4">
        <v>0.60416666666666696</v>
      </c>
      <c r="AD9" s="5">
        <v>0.91666666666666696</v>
      </c>
      <c r="AE9" s="14">
        <f t="shared" si="11"/>
        <v>0.3125</v>
      </c>
      <c r="AF9" s="15">
        <f>IFERROR(VLOOKUP(AE9,Sayfa1!C:D,2,TRUE),"")</f>
        <v>4.1666666666666664E-2</v>
      </c>
      <c r="AG9" s="16">
        <f t="shared" si="5"/>
        <v>0.27083333333333331</v>
      </c>
      <c r="AH9" s="4">
        <v>0.39583333333333298</v>
      </c>
      <c r="AI9" s="5">
        <v>0.91666666666666696</v>
      </c>
      <c r="AJ9" s="14">
        <f t="shared" si="12"/>
        <v>0.52083333333333393</v>
      </c>
      <c r="AK9" s="15">
        <f>IFERROR(VLOOKUP(AJ9,Sayfa1!C:D,2,TRUE),"")</f>
        <v>8.3333333333333329E-2</v>
      </c>
      <c r="AL9" s="16">
        <f t="shared" si="13"/>
        <v>0.43750000000000061</v>
      </c>
      <c r="AM9" s="17">
        <f t="shared" si="14"/>
        <v>1.8750000000000022</v>
      </c>
      <c r="AN9" s="18">
        <f>IFERROR(AM9-(Sayfa1!$I$1/24),"")</f>
        <v>2.2204460492503131E-15</v>
      </c>
      <c r="AO9" s="29"/>
    </row>
    <row r="10" spans="1:41" ht="48" customHeight="1" thickBot="1" x14ac:dyDescent="0.35">
      <c r="A10" s="22">
        <v>8</v>
      </c>
      <c r="B10" s="1" t="s">
        <v>39</v>
      </c>
      <c r="C10" s="2" t="s">
        <v>13</v>
      </c>
      <c r="D10" s="4">
        <v>0.5</v>
      </c>
      <c r="E10" s="5">
        <v>0.83333333333333304</v>
      </c>
      <c r="F10" s="14">
        <f t="shared" si="6"/>
        <v>0.33333333333333304</v>
      </c>
      <c r="G10" s="15">
        <f>IFERROR(VLOOKUP(F10,Sayfa1!C:D,2,TRUE),"")</f>
        <v>4.1666666666666664E-2</v>
      </c>
      <c r="H10" s="16">
        <f t="shared" si="0"/>
        <v>0.29166666666666635</v>
      </c>
      <c r="I10" s="4">
        <v>0.5</v>
      </c>
      <c r="J10" s="5">
        <v>0.83333333333333304</v>
      </c>
      <c r="K10" s="14">
        <f t="shared" si="7"/>
        <v>0.33333333333333304</v>
      </c>
      <c r="L10" s="15">
        <f>IFERROR(VLOOKUP(K10,Sayfa1!C:D,2,TRUE),"")</f>
        <v>4.1666666666666664E-2</v>
      </c>
      <c r="M10" s="16">
        <f t="shared" si="1"/>
        <v>0.29166666666666635</v>
      </c>
      <c r="N10" s="4">
        <v>0.39583333333333298</v>
      </c>
      <c r="O10" s="5">
        <v>0.91666666666666696</v>
      </c>
      <c r="P10" s="14">
        <f t="shared" si="8"/>
        <v>0.52083333333333393</v>
      </c>
      <c r="Q10" s="15">
        <f>IFERROR(VLOOKUP(P10,Sayfa1!C:D,2,TRUE),"")</f>
        <v>8.3333333333333329E-2</v>
      </c>
      <c r="R10" s="16">
        <f t="shared" si="2"/>
        <v>0.43750000000000061</v>
      </c>
      <c r="S10" s="4">
        <v>0.39583333333333298</v>
      </c>
      <c r="T10" s="5">
        <v>0.72916666666666696</v>
      </c>
      <c r="U10" s="14">
        <f t="shared" si="9"/>
        <v>0.33333333333333398</v>
      </c>
      <c r="V10" s="15">
        <f>IFERROR(VLOOKUP(U10,Sayfa1!C:D,2,TRUE),"")</f>
        <v>4.1666666666666664E-2</v>
      </c>
      <c r="W10" s="16">
        <f t="shared" si="3"/>
        <v>0.2916666666666673</v>
      </c>
      <c r="X10" s="4">
        <v>0</v>
      </c>
      <c r="Y10" s="5">
        <v>0</v>
      </c>
      <c r="Z10" s="14">
        <f t="shared" si="10"/>
        <v>0</v>
      </c>
      <c r="AA10" s="15">
        <f>IFERROR(VLOOKUP(Z10,Sayfa1!C:D,2,TRUE),"")</f>
        <v>0</v>
      </c>
      <c r="AB10" s="16">
        <f t="shared" si="4"/>
        <v>0</v>
      </c>
      <c r="AC10" s="4">
        <v>0.60416666666666696</v>
      </c>
      <c r="AD10" s="5">
        <v>0.91666666666666696</v>
      </c>
      <c r="AE10" s="14">
        <f t="shared" si="11"/>
        <v>0.3125</v>
      </c>
      <c r="AF10" s="15">
        <f>IFERROR(VLOOKUP(AE10,Sayfa1!C:D,2,TRUE),"")</f>
        <v>4.1666666666666664E-2</v>
      </c>
      <c r="AG10" s="16">
        <f t="shared" si="5"/>
        <v>0.27083333333333331</v>
      </c>
      <c r="AH10" s="4">
        <v>0.5</v>
      </c>
      <c r="AI10" s="5">
        <v>0.83333333333333304</v>
      </c>
      <c r="AJ10" s="14">
        <f t="shared" si="12"/>
        <v>0.33333333333333304</v>
      </c>
      <c r="AK10" s="15">
        <f>IFERROR(VLOOKUP(AJ10,Sayfa1!C:D,2,TRUE),"")</f>
        <v>4.1666666666666664E-2</v>
      </c>
      <c r="AL10" s="16">
        <f t="shared" si="13"/>
        <v>0.29166666666666635</v>
      </c>
      <c r="AM10" s="17">
        <f t="shared" si="14"/>
        <v>1.875</v>
      </c>
      <c r="AN10" s="18">
        <f>IFERROR(AM10-(Sayfa1!$I$1/24),"")</f>
        <v>0</v>
      </c>
      <c r="AO10" s="29"/>
    </row>
    <row r="11" spans="1:41" ht="48" customHeight="1" thickBot="1" x14ac:dyDescent="0.35">
      <c r="A11" s="22">
        <v>9</v>
      </c>
      <c r="B11" s="1"/>
      <c r="C11" s="2" t="s">
        <v>13</v>
      </c>
      <c r="D11" s="4"/>
      <c r="E11" s="5"/>
      <c r="F11" s="14">
        <f t="shared" si="6"/>
        <v>0</v>
      </c>
      <c r="G11" s="15">
        <f>IFERROR(VLOOKUP(F11,Sayfa1!C:D,2,TRUE),"")</f>
        <v>0</v>
      </c>
      <c r="H11" s="16">
        <f t="shared" si="0"/>
        <v>0</v>
      </c>
      <c r="I11" s="4"/>
      <c r="J11" s="5"/>
      <c r="K11" s="14">
        <f t="shared" si="7"/>
        <v>0</v>
      </c>
      <c r="L11" s="15">
        <f>IFERROR(VLOOKUP(K11,Sayfa1!C:D,2,TRUE),"")</f>
        <v>0</v>
      </c>
      <c r="M11" s="16">
        <f t="shared" si="1"/>
        <v>0</v>
      </c>
      <c r="N11" s="4"/>
      <c r="O11" s="5"/>
      <c r="P11" s="14">
        <f t="shared" si="8"/>
        <v>0</v>
      </c>
      <c r="Q11" s="15">
        <f>IFERROR(VLOOKUP(P11,Sayfa1!C:D,2,TRUE),"")</f>
        <v>0</v>
      </c>
      <c r="R11" s="16">
        <f t="shared" si="2"/>
        <v>0</v>
      </c>
      <c r="S11" s="4"/>
      <c r="T11" s="5"/>
      <c r="U11" s="14">
        <f t="shared" si="9"/>
        <v>0</v>
      </c>
      <c r="V11" s="15">
        <f>IFERROR(VLOOKUP(U11,Sayfa1!C:D,2,TRUE),"")</f>
        <v>0</v>
      </c>
      <c r="W11" s="16">
        <f t="shared" si="3"/>
        <v>0</v>
      </c>
      <c r="X11" s="4"/>
      <c r="Y11" s="5"/>
      <c r="Z11" s="14">
        <f t="shared" si="10"/>
        <v>0</v>
      </c>
      <c r="AA11" s="15">
        <f>IFERROR(VLOOKUP(Z11,Sayfa1!C:D,2,TRUE),"")</f>
        <v>0</v>
      </c>
      <c r="AB11" s="16">
        <f t="shared" si="4"/>
        <v>0</v>
      </c>
      <c r="AC11" s="4"/>
      <c r="AD11" s="5"/>
      <c r="AE11" s="14">
        <f t="shared" si="11"/>
        <v>0</v>
      </c>
      <c r="AF11" s="15">
        <f>IFERROR(VLOOKUP(AE11,Sayfa1!C:D,2,TRUE),"")</f>
        <v>0</v>
      </c>
      <c r="AG11" s="16">
        <f t="shared" si="5"/>
        <v>0</v>
      </c>
      <c r="AH11" s="4"/>
      <c r="AI11" s="5"/>
      <c r="AJ11" s="14">
        <f t="shared" si="12"/>
        <v>0</v>
      </c>
      <c r="AK11" s="15">
        <f>IFERROR(VLOOKUP(AJ11,Sayfa1!C:D,2,TRUE),"")</f>
        <v>0</v>
      </c>
      <c r="AL11" s="16">
        <f t="shared" si="13"/>
        <v>0</v>
      </c>
      <c r="AM11" s="17">
        <f t="shared" si="14"/>
        <v>0</v>
      </c>
      <c r="AN11" s="18">
        <f>IFERROR(AM11-(Sayfa1!$I$1/24),"")</f>
        <v>-1.875</v>
      </c>
      <c r="AO11" s="29"/>
    </row>
    <row r="12" spans="1:41" ht="48" customHeight="1" thickBot="1" x14ac:dyDescent="0.35">
      <c r="A12" s="22">
        <v>10</v>
      </c>
      <c r="B12" s="1"/>
      <c r="C12" s="2" t="s">
        <v>13</v>
      </c>
      <c r="D12" s="4"/>
      <c r="E12" s="5"/>
      <c r="F12" s="14">
        <f t="shared" si="6"/>
        <v>0</v>
      </c>
      <c r="G12" s="15">
        <f>IFERROR(VLOOKUP(F12,Sayfa1!C:D,2,TRUE),"")</f>
        <v>0</v>
      </c>
      <c r="H12" s="16">
        <f t="shared" si="0"/>
        <v>0</v>
      </c>
      <c r="I12" s="4"/>
      <c r="J12" s="5"/>
      <c r="K12" s="14">
        <f t="shared" si="7"/>
        <v>0</v>
      </c>
      <c r="L12" s="15">
        <f>IFERROR(VLOOKUP(K12,Sayfa1!C:D,2,TRUE),"")</f>
        <v>0</v>
      </c>
      <c r="M12" s="16">
        <f t="shared" si="1"/>
        <v>0</v>
      </c>
      <c r="N12" s="4"/>
      <c r="O12" s="5"/>
      <c r="P12" s="14">
        <f t="shared" si="8"/>
        <v>0</v>
      </c>
      <c r="Q12" s="15">
        <f>IFERROR(VLOOKUP(P12,Sayfa1!C:D,2,TRUE),"")</f>
        <v>0</v>
      </c>
      <c r="R12" s="16">
        <f t="shared" si="2"/>
        <v>0</v>
      </c>
      <c r="S12" s="4"/>
      <c r="T12" s="5"/>
      <c r="U12" s="14">
        <f t="shared" si="9"/>
        <v>0</v>
      </c>
      <c r="V12" s="15">
        <f>IFERROR(VLOOKUP(U12,Sayfa1!C:D,2,TRUE),"")</f>
        <v>0</v>
      </c>
      <c r="W12" s="16">
        <f t="shared" si="3"/>
        <v>0</v>
      </c>
      <c r="X12" s="4"/>
      <c r="Y12" s="5"/>
      <c r="Z12" s="14">
        <f t="shared" si="10"/>
        <v>0</v>
      </c>
      <c r="AA12" s="15">
        <f>IFERROR(VLOOKUP(Z12,Sayfa1!C:D,2,TRUE),"")</f>
        <v>0</v>
      </c>
      <c r="AB12" s="16">
        <f t="shared" si="4"/>
        <v>0</v>
      </c>
      <c r="AC12" s="4"/>
      <c r="AD12" s="5"/>
      <c r="AE12" s="14">
        <f t="shared" si="11"/>
        <v>0</v>
      </c>
      <c r="AF12" s="15">
        <f>IFERROR(VLOOKUP(AE12,Sayfa1!C:D,2,TRUE),"")</f>
        <v>0</v>
      </c>
      <c r="AG12" s="16">
        <f t="shared" si="5"/>
        <v>0</v>
      </c>
      <c r="AH12" s="4"/>
      <c r="AI12" s="5"/>
      <c r="AJ12" s="14">
        <f t="shared" si="12"/>
        <v>0</v>
      </c>
      <c r="AK12" s="15">
        <f>IFERROR(VLOOKUP(AJ12,Sayfa1!C:D,2,TRUE),"")</f>
        <v>0</v>
      </c>
      <c r="AL12" s="16">
        <f t="shared" si="13"/>
        <v>0</v>
      </c>
      <c r="AM12" s="17">
        <f t="shared" si="14"/>
        <v>0</v>
      </c>
      <c r="AN12" s="18">
        <f>IFERROR(AM12-(Sayfa1!$I$1/24),"")</f>
        <v>-1.875</v>
      </c>
      <c r="AO12" s="29"/>
    </row>
    <row r="13" spans="1:41" ht="48" customHeight="1" thickBot="1" x14ac:dyDescent="0.35">
      <c r="A13" s="22">
        <v>11</v>
      </c>
      <c r="B13" s="1"/>
      <c r="C13" s="2" t="s">
        <v>13</v>
      </c>
      <c r="D13" s="4"/>
      <c r="E13" s="5"/>
      <c r="F13" s="14">
        <f t="shared" si="6"/>
        <v>0</v>
      </c>
      <c r="G13" s="15">
        <f>IFERROR(VLOOKUP(F13,Sayfa1!C:D,2,TRUE),"")</f>
        <v>0</v>
      </c>
      <c r="H13" s="16">
        <f t="shared" si="0"/>
        <v>0</v>
      </c>
      <c r="I13" s="4"/>
      <c r="J13" s="5"/>
      <c r="K13" s="14">
        <f t="shared" si="7"/>
        <v>0</v>
      </c>
      <c r="L13" s="15">
        <f>IFERROR(VLOOKUP(K13,Sayfa1!C:D,2,TRUE),"")</f>
        <v>0</v>
      </c>
      <c r="M13" s="16">
        <f t="shared" si="1"/>
        <v>0</v>
      </c>
      <c r="N13" s="4"/>
      <c r="O13" s="5"/>
      <c r="P13" s="14">
        <f t="shared" si="8"/>
        <v>0</v>
      </c>
      <c r="Q13" s="15">
        <f>IFERROR(VLOOKUP(P13,Sayfa1!C:D,2,TRUE),"")</f>
        <v>0</v>
      </c>
      <c r="R13" s="16">
        <f t="shared" si="2"/>
        <v>0</v>
      </c>
      <c r="S13" s="4"/>
      <c r="T13" s="5"/>
      <c r="U13" s="14">
        <f t="shared" si="9"/>
        <v>0</v>
      </c>
      <c r="V13" s="15">
        <f>IFERROR(VLOOKUP(U13,Sayfa1!C:D,2,TRUE),"")</f>
        <v>0</v>
      </c>
      <c r="W13" s="16">
        <f t="shared" si="3"/>
        <v>0</v>
      </c>
      <c r="X13" s="4"/>
      <c r="Y13" s="5"/>
      <c r="Z13" s="14">
        <f t="shared" si="10"/>
        <v>0</v>
      </c>
      <c r="AA13" s="15">
        <f>IFERROR(VLOOKUP(Z13,Sayfa1!C:D,2,TRUE),"")</f>
        <v>0</v>
      </c>
      <c r="AB13" s="16">
        <f t="shared" si="4"/>
        <v>0</v>
      </c>
      <c r="AC13" s="4"/>
      <c r="AD13" s="5"/>
      <c r="AE13" s="14">
        <f t="shared" si="11"/>
        <v>0</v>
      </c>
      <c r="AF13" s="15">
        <f>IFERROR(VLOOKUP(AE13,Sayfa1!C:D,2,TRUE),"")</f>
        <v>0</v>
      </c>
      <c r="AG13" s="16">
        <f t="shared" si="5"/>
        <v>0</v>
      </c>
      <c r="AH13" s="4"/>
      <c r="AI13" s="5"/>
      <c r="AJ13" s="14">
        <f t="shared" si="12"/>
        <v>0</v>
      </c>
      <c r="AK13" s="15">
        <f>IFERROR(VLOOKUP(AJ13,Sayfa1!C:D,2,TRUE),"")</f>
        <v>0</v>
      </c>
      <c r="AL13" s="16">
        <f t="shared" si="13"/>
        <v>0</v>
      </c>
      <c r="AM13" s="17">
        <f t="shared" si="14"/>
        <v>0</v>
      </c>
      <c r="AN13" s="18">
        <f>IFERROR(AM13-(Sayfa1!$I$1/24),"")</f>
        <v>-1.875</v>
      </c>
      <c r="AO13" s="29"/>
    </row>
    <row r="14" spans="1:41" ht="48" customHeight="1" thickBot="1" x14ac:dyDescent="0.35">
      <c r="A14" s="23">
        <v>12</v>
      </c>
      <c r="B14" s="24"/>
      <c r="C14" s="2" t="s">
        <v>13</v>
      </c>
      <c r="D14" s="4"/>
      <c r="E14" s="5"/>
      <c r="F14" s="14">
        <f t="shared" si="6"/>
        <v>0</v>
      </c>
      <c r="G14" s="15">
        <f>IFERROR(VLOOKUP(F14,Sayfa1!C:D,2,TRUE),"")</f>
        <v>0</v>
      </c>
      <c r="H14" s="16">
        <f t="shared" si="0"/>
        <v>0</v>
      </c>
      <c r="I14" s="4"/>
      <c r="J14" s="5"/>
      <c r="K14" s="14">
        <f t="shared" si="7"/>
        <v>0</v>
      </c>
      <c r="L14" s="15">
        <f>IFERROR(VLOOKUP(K14,Sayfa1!C:D,2,TRUE),"")</f>
        <v>0</v>
      </c>
      <c r="M14" s="16">
        <f t="shared" si="1"/>
        <v>0</v>
      </c>
      <c r="N14" s="4"/>
      <c r="O14" s="5"/>
      <c r="P14" s="14">
        <f t="shared" si="8"/>
        <v>0</v>
      </c>
      <c r="Q14" s="15">
        <f>IFERROR(VLOOKUP(P14,Sayfa1!C:D,2,TRUE),"")</f>
        <v>0</v>
      </c>
      <c r="R14" s="16">
        <f t="shared" si="2"/>
        <v>0</v>
      </c>
      <c r="S14" s="4"/>
      <c r="T14" s="5"/>
      <c r="U14" s="14">
        <f t="shared" si="9"/>
        <v>0</v>
      </c>
      <c r="V14" s="15">
        <f>IFERROR(VLOOKUP(U14,Sayfa1!C:D,2,TRUE),"")</f>
        <v>0</v>
      </c>
      <c r="W14" s="16">
        <f t="shared" si="3"/>
        <v>0</v>
      </c>
      <c r="X14" s="4"/>
      <c r="Y14" s="5"/>
      <c r="Z14" s="14">
        <f t="shared" si="10"/>
        <v>0</v>
      </c>
      <c r="AA14" s="15">
        <f>IFERROR(VLOOKUP(Z14,Sayfa1!C:D,2,TRUE),"")</f>
        <v>0</v>
      </c>
      <c r="AB14" s="16">
        <f t="shared" si="4"/>
        <v>0</v>
      </c>
      <c r="AC14" s="4"/>
      <c r="AD14" s="5"/>
      <c r="AE14" s="14">
        <f t="shared" si="11"/>
        <v>0</v>
      </c>
      <c r="AF14" s="15">
        <f>IFERROR(VLOOKUP(AE14,Sayfa1!C:D,2,TRUE),"")</f>
        <v>0</v>
      </c>
      <c r="AG14" s="16">
        <f t="shared" si="5"/>
        <v>0</v>
      </c>
      <c r="AH14" s="4"/>
      <c r="AI14" s="5"/>
      <c r="AJ14" s="14">
        <f t="shared" si="12"/>
        <v>0</v>
      </c>
      <c r="AK14" s="15">
        <f>IFERROR(VLOOKUP(AJ14,Sayfa1!C:D,2,TRUE),"")</f>
        <v>0</v>
      </c>
      <c r="AL14" s="16">
        <f t="shared" si="13"/>
        <v>0</v>
      </c>
      <c r="AM14" s="17">
        <f t="shared" si="14"/>
        <v>0</v>
      </c>
      <c r="AN14" s="18">
        <f>IFERROR(AM14-(Sayfa1!$I$1/24),"")</f>
        <v>-1.875</v>
      </c>
      <c r="AO14" s="29"/>
    </row>
    <row r="15" spans="1:41" ht="15" thickTop="1" x14ac:dyDescent="0.3"/>
    <row r="19" spans="1:25" ht="15" thickBot="1" x14ac:dyDescent="0.35"/>
    <row r="20" spans="1:25" ht="55.05" customHeight="1" thickTop="1" thickBot="1" x14ac:dyDescent="0.35">
      <c r="A20" s="25" t="s">
        <v>0</v>
      </c>
      <c r="B20" s="28" t="s">
        <v>4</v>
      </c>
      <c r="C20" s="40" t="s">
        <v>18</v>
      </c>
      <c r="D20" s="40"/>
      <c r="E20" s="40" t="s">
        <v>15</v>
      </c>
      <c r="F20" s="40"/>
      <c r="G20" s="40" t="s">
        <v>16</v>
      </c>
      <c r="H20" s="40"/>
      <c r="I20" s="40" t="s">
        <v>17</v>
      </c>
      <c r="J20" s="41"/>
      <c r="L20" s="42" t="s">
        <v>20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4"/>
    </row>
    <row r="21" spans="1:25" ht="48" customHeight="1" thickBot="1" x14ac:dyDescent="0.35">
      <c r="A21" s="22">
        <v>1</v>
      </c>
      <c r="B21" s="26" t="s">
        <v>32</v>
      </c>
      <c r="C21" s="36">
        <v>57</v>
      </c>
      <c r="D21" s="36"/>
      <c r="E21" s="36">
        <v>0</v>
      </c>
      <c r="F21" s="36"/>
      <c r="G21" s="36">
        <v>7</v>
      </c>
      <c r="H21" s="36"/>
      <c r="I21" s="36">
        <v>50</v>
      </c>
      <c r="J21" s="37"/>
      <c r="L21" s="22">
        <v>1</v>
      </c>
      <c r="M21" s="38" t="s">
        <v>21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9"/>
    </row>
    <row r="22" spans="1:25" ht="48" customHeight="1" thickBot="1" x14ac:dyDescent="0.35">
      <c r="A22" s="22">
        <v>2</v>
      </c>
      <c r="B22" s="26" t="s">
        <v>40</v>
      </c>
      <c r="C22" s="36">
        <v>-5</v>
      </c>
      <c r="D22" s="36"/>
      <c r="E22" s="36">
        <v>0</v>
      </c>
      <c r="F22" s="36"/>
      <c r="G22" s="36">
        <v>0</v>
      </c>
      <c r="H22" s="36"/>
      <c r="I22" s="36">
        <v>-5</v>
      </c>
      <c r="J22" s="37"/>
      <c r="L22" s="22">
        <v>2</v>
      </c>
      <c r="M22" s="38" t="s">
        <v>22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9"/>
    </row>
    <row r="23" spans="1:25" ht="48" customHeight="1" thickBot="1" x14ac:dyDescent="0.35">
      <c r="A23" s="22">
        <v>3</v>
      </c>
      <c r="B23" s="26" t="s">
        <v>34</v>
      </c>
      <c r="C23" s="36">
        <v>2</v>
      </c>
      <c r="D23" s="36"/>
      <c r="E23" s="36">
        <v>0</v>
      </c>
      <c r="F23" s="36"/>
      <c r="G23" s="36">
        <v>0</v>
      </c>
      <c r="H23" s="36"/>
      <c r="I23" s="36">
        <v>2</v>
      </c>
      <c r="J23" s="37"/>
      <c r="L23" s="22">
        <v>3</v>
      </c>
      <c r="M23" s="38" t="s">
        <v>28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9"/>
    </row>
    <row r="24" spans="1:25" ht="48" customHeight="1" thickBot="1" x14ac:dyDescent="0.35">
      <c r="A24" s="22">
        <v>4</v>
      </c>
      <c r="B24" s="26" t="s">
        <v>35</v>
      </c>
      <c r="C24" s="36">
        <v>11</v>
      </c>
      <c r="D24" s="36"/>
      <c r="E24" s="36">
        <v>0</v>
      </c>
      <c r="F24" s="36"/>
      <c r="G24" s="36">
        <v>0</v>
      </c>
      <c r="H24" s="36"/>
      <c r="I24" s="36">
        <v>11</v>
      </c>
      <c r="J24" s="37"/>
      <c r="L24" s="22">
        <v>4</v>
      </c>
      <c r="M24" s="38" t="s">
        <v>29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9"/>
    </row>
    <row r="25" spans="1:25" ht="48" customHeight="1" thickBot="1" x14ac:dyDescent="0.35">
      <c r="A25" s="22">
        <v>5</v>
      </c>
      <c r="B25" s="26" t="s">
        <v>41</v>
      </c>
      <c r="C25" s="36" t="s">
        <v>45</v>
      </c>
      <c r="D25" s="36"/>
      <c r="E25" s="36">
        <v>0</v>
      </c>
      <c r="F25" s="36"/>
      <c r="G25" s="36">
        <v>0</v>
      </c>
      <c r="H25" s="36"/>
      <c r="I25" s="36" t="s">
        <v>45</v>
      </c>
      <c r="J25" s="37"/>
      <c r="L25" s="22">
        <v>5</v>
      </c>
      <c r="M25" s="38" t="s">
        <v>27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9"/>
    </row>
    <row r="26" spans="1:25" ht="48" customHeight="1" thickBot="1" x14ac:dyDescent="0.35">
      <c r="A26" s="22">
        <v>6</v>
      </c>
      <c r="B26" s="26" t="s">
        <v>37</v>
      </c>
      <c r="C26" s="36">
        <v>-6</v>
      </c>
      <c r="D26" s="36"/>
      <c r="E26" s="36">
        <v>0</v>
      </c>
      <c r="F26" s="36"/>
      <c r="G26" s="36">
        <v>0</v>
      </c>
      <c r="H26" s="36"/>
      <c r="I26" s="36">
        <v>-6</v>
      </c>
      <c r="J26" s="37"/>
      <c r="L26" s="22">
        <v>6</v>
      </c>
      <c r="M26" s="38" t="s">
        <v>26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9"/>
    </row>
    <row r="27" spans="1:25" ht="48" customHeight="1" thickBot="1" x14ac:dyDescent="0.35">
      <c r="A27" s="22">
        <v>7</v>
      </c>
      <c r="B27" s="26" t="s">
        <v>38</v>
      </c>
      <c r="C27" s="36" t="s">
        <v>43</v>
      </c>
      <c r="D27" s="36"/>
      <c r="E27" s="36">
        <v>0</v>
      </c>
      <c r="F27" s="36"/>
      <c r="G27" s="36">
        <v>0</v>
      </c>
      <c r="H27" s="36"/>
      <c r="I27" s="36" t="s">
        <v>43</v>
      </c>
      <c r="J27" s="37"/>
      <c r="L27" s="22">
        <v>7</v>
      </c>
      <c r="M27" s="38" t="s">
        <v>24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9"/>
    </row>
    <row r="28" spans="1:25" ht="48" customHeight="1" thickBot="1" x14ac:dyDescent="0.35">
      <c r="A28" s="22">
        <v>8</v>
      </c>
      <c r="B28" s="26" t="s">
        <v>39</v>
      </c>
      <c r="C28" s="36" t="s">
        <v>43</v>
      </c>
      <c r="D28" s="36"/>
      <c r="E28" s="36">
        <v>0</v>
      </c>
      <c r="F28" s="36"/>
      <c r="G28" s="36">
        <v>0</v>
      </c>
      <c r="H28" s="36"/>
      <c r="I28" s="36" t="s">
        <v>43</v>
      </c>
      <c r="J28" s="37"/>
      <c r="L28" s="22">
        <v>8</v>
      </c>
      <c r="M28" s="38" t="s">
        <v>23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9"/>
    </row>
    <row r="29" spans="1:25" ht="48" customHeight="1" thickBot="1" x14ac:dyDescent="0.35">
      <c r="A29" s="22">
        <v>9</v>
      </c>
      <c r="B29" s="26"/>
      <c r="C29" s="36"/>
      <c r="D29" s="36"/>
      <c r="E29" s="36"/>
      <c r="F29" s="36"/>
      <c r="G29" s="36"/>
      <c r="H29" s="36"/>
      <c r="I29" s="36"/>
      <c r="J29" s="37"/>
      <c r="L29" s="22">
        <v>9</v>
      </c>
      <c r="M29" s="38" t="s">
        <v>25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9"/>
    </row>
    <row r="30" spans="1:25" ht="48" customHeight="1" thickBot="1" x14ac:dyDescent="0.35">
      <c r="A30" s="23">
        <v>10</v>
      </c>
      <c r="B30" s="27"/>
      <c r="C30" s="32"/>
      <c r="D30" s="32"/>
      <c r="E30" s="32"/>
      <c r="F30" s="32"/>
      <c r="G30" s="32"/>
      <c r="H30" s="32"/>
      <c r="I30" s="32"/>
      <c r="J30" s="33"/>
      <c r="L30" s="23">
        <v>10</v>
      </c>
      <c r="M30" s="34" t="s">
        <v>30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5"/>
    </row>
    <row r="31" spans="1:25" ht="15" thickTop="1" x14ac:dyDescent="0.3"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5" spans="13:13" x14ac:dyDescent="0.3">
      <c r="M35" s="31"/>
    </row>
  </sheetData>
  <sheetProtection algorithmName="SHA-512" hashValue="U3Tmx2YyB3XG4SVBKwfISq9/jTRLK2cD8gXp748nG+M4PPHPsPIxOAihGM5XSkk9lMobEa7xinc765zRe6/n5Q==" saltValue="SfD1bj5UKp8cnwToAQeRRA==" spinCount="100000" sheet="1" objects="1" scenarios="1"/>
  <mergeCells count="67">
    <mergeCell ref="AO1:AO2"/>
    <mergeCell ref="A1:A2"/>
    <mergeCell ref="B1:B2"/>
    <mergeCell ref="C1:C2"/>
    <mergeCell ref="D1:H1"/>
    <mergeCell ref="I1:M1"/>
    <mergeCell ref="N1:R1"/>
    <mergeCell ref="S1:W1"/>
    <mergeCell ref="X1:AB1"/>
    <mergeCell ref="AC1:AG1"/>
    <mergeCell ref="AH1:AL1"/>
    <mergeCell ref="AM1:AN1"/>
    <mergeCell ref="C21:D21"/>
    <mergeCell ref="E21:F21"/>
    <mergeCell ref="G21:H21"/>
    <mergeCell ref="I21:J21"/>
    <mergeCell ref="M21:Y21"/>
    <mergeCell ref="C20:D20"/>
    <mergeCell ref="E20:F20"/>
    <mergeCell ref="G20:H20"/>
    <mergeCell ref="I20:J20"/>
    <mergeCell ref="L20:Y20"/>
    <mergeCell ref="C23:D23"/>
    <mergeCell ref="E23:F23"/>
    <mergeCell ref="G23:H23"/>
    <mergeCell ref="I23:J23"/>
    <mergeCell ref="M23:Y23"/>
    <mergeCell ref="C22:D22"/>
    <mergeCell ref="E22:F22"/>
    <mergeCell ref="G22:H22"/>
    <mergeCell ref="I22:J22"/>
    <mergeCell ref="M22:Y22"/>
    <mergeCell ref="C25:D25"/>
    <mergeCell ref="E25:F25"/>
    <mergeCell ref="G25:H25"/>
    <mergeCell ref="I25:J25"/>
    <mergeCell ref="M25:Y25"/>
    <mergeCell ref="C24:D24"/>
    <mergeCell ref="E24:F24"/>
    <mergeCell ref="G24:H24"/>
    <mergeCell ref="I24:J24"/>
    <mergeCell ref="M24:Y24"/>
    <mergeCell ref="C27:D27"/>
    <mergeCell ref="E27:F27"/>
    <mergeCell ref="G27:H27"/>
    <mergeCell ref="I27:J27"/>
    <mergeCell ref="M27:Y27"/>
    <mergeCell ref="C26:D26"/>
    <mergeCell ref="E26:F26"/>
    <mergeCell ref="G26:H26"/>
    <mergeCell ref="I26:J26"/>
    <mergeCell ref="M26:Y26"/>
    <mergeCell ref="C29:D29"/>
    <mergeCell ref="E29:F29"/>
    <mergeCell ref="G29:H29"/>
    <mergeCell ref="I29:J29"/>
    <mergeCell ref="M29:Y29"/>
    <mergeCell ref="C28:D28"/>
    <mergeCell ref="E28:F28"/>
    <mergeCell ref="G28:H28"/>
    <mergeCell ref="I28:J28"/>
    <mergeCell ref="M28:Y28"/>
    <mergeCell ref="C30:D30"/>
    <mergeCell ref="E30:F30"/>
    <mergeCell ref="G30:H30"/>
    <mergeCell ref="I30:J30"/>
    <mergeCell ref="M30:Y30"/>
  </mergeCells>
  <printOptions horizontalCentered="1" verticalCentered="1"/>
  <pageMargins left="0" right="0" top="0" bottom="0" header="0" footer="0"/>
  <pageSetup paperSize="9" scale="2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C0E04E-1D85-4432-BA6A-D8696A476E18}">
          <x14:formula1>
            <xm:f>Sayfa1!$A$1:$A$48</xm:f>
          </x14:formula1>
          <xm:sqref>D3:E14 AC3:AD14 X3:Y14 S3:T14 N3:O14 I3:J14 AH3:AI14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08DDF-3365-4C3D-AC4A-554DBC198C05}">
  <sheetPr>
    <pageSetUpPr fitToPage="1"/>
  </sheetPr>
  <dimension ref="A1:AO35"/>
  <sheetViews>
    <sheetView zoomScale="50" zoomScaleNormal="50" workbookViewId="0">
      <selection activeCell="K26" sqref="K26"/>
    </sheetView>
  </sheetViews>
  <sheetFormatPr defaultColWidth="9.109375" defaultRowHeight="14.4" x14ac:dyDescent="0.3"/>
  <cols>
    <col min="1" max="1" width="8.44140625" style="13" bestFit="1" customWidth="1"/>
    <col min="2" max="2" width="25.77734375" style="13" customWidth="1"/>
    <col min="3" max="3" width="14.5546875" style="13" bestFit="1" customWidth="1"/>
    <col min="4" max="4" width="11.21875" style="13" bestFit="1" customWidth="1"/>
    <col min="5" max="5" width="11.21875" style="13" customWidth="1"/>
    <col min="6" max="7" width="11.21875" style="13" bestFit="1" customWidth="1"/>
    <col min="8" max="8" width="11.21875" style="13" customWidth="1"/>
    <col min="9" max="10" width="11.21875" style="13" bestFit="1" customWidth="1"/>
    <col min="11" max="11" width="11.21875" style="13" customWidth="1"/>
    <col min="12" max="38" width="11.21875" style="13" bestFit="1" customWidth="1"/>
    <col min="39" max="40" width="20.77734375" style="13" customWidth="1"/>
    <col min="41" max="41" width="40.77734375" style="13" customWidth="1"/>
    <col min="42" max="16384" width="9.109375" style="13"/>
  </cols>
  <sheetData>
    <row r="1" spans="1:41" s="7" customFormat="1" ht="25.5" customHeight="1" thickTop="1" thickBot="1" x14ac:dyDescent="0.35">
      <c r="A1" s="47" t="s">
        <v>0</v>
      </c>
      <c r="B1" s="49" t="s">
        <v>4</v>
      </c>
      <c r="C1" s="51" t="s">
        <v>1</v>
      </c>
      <c r="D1" s="53">
        <v>46286</v>
      </c>
      <c r="E1" s="54"/>
      <c r="F1" s="54"/>
      <c r="G1" s="54"/>
      <c r="H1" s="55"/>
      <c r="I1" s="53">
        <v>46287</v>
      </c>
      <c r="J1" s="54"/>
      <c r="K1" s="54"/>
      <c r="L1" s="54"/>
      <c r="M1" s="55"/>
      <c r="N1" s="53">
        <v>46288</v>
      </c>
      <c r="O1" s="54"/>
      <c r="P1" s="54"/>
      <c r="Q1" s="54"/>
      <c r="R1" s="55"/>
      <c r="S1" s="53">
        <v>46289</v>
      </c>
      <c r="T1" s="54"/>
      <c r="U1" s="54"/>
      <c r="V1" s="54"/>
      <c r="W1" s="55"/>
      <c r="X1" s="53">
        <v>46290</v>
      </c>
      <c r="Y1" s="54"/>
      <c r="Z1" s="54"/>
      <c r="AA1" s="54"/>
      <c r="AB1" s="55"/>
      <c r="AC1" s="53">
        <v>46291</v>
      </c>
      <c r="AD1" s="54"/>
      <c r="AE1" s="54"/>
      <c r="AF1" s="54"/>
      <c r="AG1" s="55"/>
      <c r="AH1" s="53">
        <v>46292</v>
      </c>
      <c r="AI1" s="54"/>
      <c r="AJ1" s="54"/>
      <c r="AK1" s="54"/>
      <c r="AL1" s="55"/>
      <c r="AM1" s="56" t="s">
        <v>12</v>
      </c>
      <c r="AN1" s="57"/>
      <c r="AO1" s="45" t="s">
        <v>19</v>
      </c>
    </row>
    <row r="2" spans="1:41" ht="41.4" customHeight="1" thickBot="1" x14ac:dyDescent="0.35">
      <c r="A2" s="48"/>
      <c r="B2" s="50"/>
      <c r="C2" s="52"/>
      <c r="D2" s="8" t="s">
        <v>2</v>
      </c>
      <c r="E2" s="9" t="s">
        <v>3</v>
      </c>
      <c r="F2" s="10" t="s">
        <v>7</v>
      </c>
      <c r="G2" s="10" t="s">
        <v>6</v>
      </c>
      <c r="H2" s="11" t="s">
        <v>8</v>
      </c>
      <c r="I2" s="8" t="s">
        <v>2</v>
      </c>
      <c r="J2" s="9" t="s">
        <v>3</v>
      </c>
      <c r="K2" s="10" t="s">
        <v>7</v>
      </c>
      <c r="L2" s="10" t="s">
        <v>6</v>
      </c>
      <c r="M2" s="11" t="s">
        <v>8</v>
      </c>
      <c r="N2" s="8" t="s">
        <v>2</v>
      </c>
      <c r="O2" s="9" t="s">
        <v>3</v>
      </c>
      <c r="P2" s="10" t="s">
        <v>7</v>
      </c>
      <c r="Q2" s="10" t="s">
        <v>6</v>
      </c>
      <c r="R2" s="11" t="s">
        <v>8</v>
      </c>
      <c r="S2" s="8" t="s">
        <v>2</v>
      </c>
      <c r="T2" s="9" t="s">
        <v>3</v>
      </c>
      <c r="U2" s="10" t="s">
        <v>7</v>
      </c>
      <c r="V2" s="10" t="s">
        <v>6</v>
      </c>
      <c r="W2" s="11" t="s">
        <v>8</v>
      </c>
      <c r="X2" s="8" t="s">
        <v>2</v>
      </c>
      <c r="Y2" s="9" t="s">
        <v>3</v>
      </c>
      <c r="Z2" s="10" t="s">
        <v>7</v>
      </c>
      <c r="AA2" s="10" t="s">
        <v>6</v>
      </c>
      <c r="AB2" s="11" t="s">
        <v>8</v>
      </c>
      <c r="AC2" s="8" t="s">
        <v>2</v>
      </c>
      <c r="AD2" s="9" t="s">
        <v>3</v>
      </c>
      <c r="AE2" s="10" t="s">
        <v>7</v>
      </c>
      <c r="AF2" s="10" t="s">
        <v>6</v>
      </c>
      <c r="AG2" s="11" t="s">
        <v>8</v>
      </c>
      <c r="AH2" s="8" t="s">
        <v>2</v>
      </c>
      <c r="AI2" s="9" t="s">
        <v>3</v>
      </c>
      <c r="AJ2" s="10" t="s">
        <v>7</v>
      </c>
      <c r="AK2" s="10" t="s">
        <v>6</v>
      </c>
      <c r="AL2" s="11" t="s">
        <v>8</v>
      </c>
      <c r="AM2" s="12" t="s">
        <v>10</v>
      </c>
      <c r="AN2" s="11" t="s">
        <v>11</v>
      </c>
      <c r="AO2" s="46"/>
    </row>
    <row r="3" spans="1:41" ht="48" customHeight="1" thickBot="1" x14ac:dyDescent="0.35">
      <c r="A3" s="22">
        <v>1</v>
      </c>
      <c r="B3" s="1" t="s">
        <v>32</v>
      </c>
      <c r="C3" s="2" t="s">
        <v>5</v>
      </c>
      <c r="D3" s="4">
        <v>0.41666666666666702</v>
      </c>
      <c r="E3" s="5">
        <v>0.95833333333333304</v>
      </c>
      <c r="F3" s="14">
        <f>E3-D3</f>
        <v>0.54166666666666607</v>
      </c>
      <c r="G3" s="15">
        <f>IFERROR(VLOOKUP(F3,Sayfa1!C:D,2,TRUE),"")</f>
        <v>8.3333333333333329E-2</v>
      </c>
      <c r="H3" s="16">
        <f t="shared" ref="H3:H14" si="0">IFERROR(F3-G3,"")</f>
        <v>0.45833333333333276</v>
      </c>
      <c r="I3" s="4">
        <v>0</v>
      </c>
      <c r="J3" s="5">
        <v>0</v>
      </c>
      <c r="K3" s="14">
        <f>J3-I3</f>
        <v>0</v>
      </c>
      <c r="L3" s="15">
        <f>IFERROR(VLOOKUP(K3,Sayfa1!C:D,2,TRUE),"")</f>
        <v>0</v>
      </c>
      <c r="M3" s="16">
        <f t="shared" ref="M3:M14" si="1">IFERROR(K3-L3,"")</f>
        <v>0</v>
      </c>
      <c r="N3" s="4">
        <v>0.58333333333333304</v>
      </c>
      <c r="O3" s="5">
        <v>0.91666666666666696</v>
      </c>
      <c r="P3" s="14">
        <f>O3-N3</f>
        <v>0.33333333333333393</v>
      </c>
      <c r="Q3" s="15">
        <f>IFERROR(VLOOKUP(P3,Sayfa1!C:D,2,TRUE),"")</f>
        <v>4.1666666666666664E-2</v>
      </c>
      <c r="R3" s="16">
        <f t="shared" ref="R3:R14" si="2">IFERROR(P3-Q3,"")</f>
        <v>0.29166666666666724</v>
      </c>
      <c r="S3" s="4">
        <v>0.39583333333333298</v>
      </c>
      <c r="T3" s="5">
        <v>0.91666666666666696</v>
      </c>
      <c r="U3" s="14">
        <f>T3-S3</f>
        <v>0.52083333333333393</v>
      </c>
      <c r="V3" s="15">
        <f>IFERROR(VLOOKUP(U3,Sayfa1!C:D,2,TRUE),"")</f>
        <v>8.3333333333333329E-2</v>
      </c>
      <c r="W3" s="16">
        <f t="shared" ref="W3:W14" si="3">IFERROR(U3-V3,"")</f>
        <v>0.43750000000000061</v>
      </c>
      <c r="X3" s="4">
        <v>0.39583333333333298</v>
      </c>
      <c r="Y3" s="5">
        <v>0.72916666666666696</v>
      </c>
      <c r="Z3" s="14">
        <f>Y3-X3</f>
        <v>0.33333333333333398</v>
      </c>
      <c r="AA3" s="15">
        <f>IFERROR(VLOOKUP(Z3,Sayfa1!C:D,2,TRUE),"")</f>
        <v>4.1666666666666664E-2</v>
      </c>
      <c r="AB3" s="16">
        <f t="shared" ref="AB3:AB14" si="4">IFERROR(Z3-AA3,"")</f>
        <v>0.2916666666666673</v>
      </c>
      <c r="AC3" s="4">
        <v>0.58333333333333304</v>
      </c>
      <c r="AD3" s="5">
        <v>0.91666666666666696</v>
      </c>
      <c r="AE3" s="14">
        <f>AD3-AC3</f>
        <v>0.33333333333333393</v>
      </c>
      <c r="AF3" s="15">
        <f>IFERROR(VLOOKUP(AE3,Sayfa1!C:D,2,TRUE),"")</f>
        <v>4.1666666666666664E-2</v>
      </c>
      <c r="AG3" s="16">
        <f t="shared" ref="AG3:AG14" si="5">IFERROR(AE3-AF3,"")</f>
        <v>0.29166666666666724</v>
      </c>
      <c r="AH3" s="4">
        <v>0.39583333333333298</v>
      </c>
      <c r="AI3" s="5">
        <v>0.75</v>
      </c>
      <c r="AJ3" s="14">
        <f>AI3-AH3</f>
        <v>0.35416666666666702</v>
      </c>
      <c r="AK3" s="15">
        <f>IFERROR(VLOOKUP(AJ3,Sayfa1!C:D,2,TRUE),"")</f>
        <v>6.25E-2</v>
      </c>
      <c r="AL3" s="16">
        <f>IFERROR(AJ3-AK3,"")</f>
        <v>0.29166666666666702</v>
      </c>
      <c r="AM3" s="17">
        <f>IFERROR(H3+M3+R3+W3+AB3+AG3+AL3,"")</f>
        <v>2.0625000000000022</v>
      </c>
      <c r="AN3" s="18">
        <f>IFERROR(AM3-(Sayfa1!$I$1/24),"")</f>
        <v>0.18750000000000222</v>
      </c>
      <c r="AO3" s="29"/>
    </row>
    <row r="4" spans="1:41" ht="48" customHeight="1" thickBot="1" x14ac:dyDescent="0.35">
      <c r="A4" s="22">
        <v>2</v>
      </c>
      <c r="B4" s="1" t="s">
        <v>33</v>
      </c>
      <c r="C4" s="2" t="s">
        <v>31</v>
      </c>
      <c r="D4" s="4">
        <v>0.39583333333333298</v>
      </c>
      <c r="E4" s="5">
        <v>0.72916666666666696</v>
      </c>
      <c r="F4" s="14">
        <f t="shared" ref="F4:F14" si="6">E4-D4</f>
        <v>0.33333333333333398</v>
      </c>
      <c r="G4" s="15">
        <f>IFERROR(VLOOKUP(F4,Sayfa1!C:D,2,TRUE),"")</f>
        <v>4.1666666666666664E-2</v>
      </c>
      <c r="H4" s="16">
        <f t="shared" si="0"/>
        <v>0.2916666666666673</v>
      </c>
      <c r="I4" s="4">
        <v>0.39583333333333298</v>
      </c>
      <c r="J4" s="5">
        <v>0.91666666666666696</v>
      </c>
      <c r="K4" s="14">
        <f t="shared" ref="K4:K14" si="7">J4-I4</f>
        <v>0.52083333333333393</v>
      </c>
      <c r="L4" s="15">
        <f>IFERROR(VLOOKUP(K4,Sayfa1!C:D,2,TRUE),"")</f>
        <v>8.3333333333333329E-2</v>
      </c>
      <c r="M4" s="16">
        <f t="shared" si="1"/>
        <v>0.43750000000000061</v>
      </c>
      <c r="N4" s="4">
        <v>0.39583333333333298</v>
      </c>
      <c r="O4" s="5">
        <v>0.72916666666666696</v>
      </c>
      <c r="P4" s="14">
        <f t="shared" ref="P4:P14" si="8">O4-N4</f>
        <v>0.33333333333333398</v>
      </c>
      <c r="Q4" s="15">
        <f>IFERROR(VLOOKUP(P4,Sayfa1!C:D,2,TRUE),"")</f>
        <v>4.1666666666666664E-2</v>
      </c>
      <c r="R4" s="16">
        <f t="shared" si="2"/>
        <v>0.2916666666666673</v>
      </c>
      <c r="S4" s="4">
        <v>0</v>
      </c>
      <c r="T4" s="5">
        <v>0</v>
      </c>
      <c r="U4" s="14">
        <f t="shared" ref="U4:U14" si="9">T4-S4</f>
        <v>0</v>
      </c>
      <c r="V4" s="15">
        <f>IFERROR(VLOOKUP(U4,Sayfa1!C:D,2,TRUE),"")</f>
        <v>0</v>
      </c>
      <c r="W4" s="16">
        <f t="shared" si="3"/>
        <v>0</v>
      </c>
      <c r="X4" s="4">
        <v>0.58333333333333304</v>
      </c>
      <c r="Y4" s="5">
        <v>0.79166666666666696</v>
      </c>
      <c r="Z4" s="14">
        <f t="shared" ref="Z4:Z14" si="10">Y4-X4</f>
        <v>0.20833333333333393</v>
      </c>
      <c r="AA4" s="15">
        <f>IFERROR(VLOOKUP(Z4,Sayfa1!C:D,2,TRUE),"")</f>
        <v>2.0833333333333332E-2</v>
      </c>
      <c r="AB4" s="16">
        <f t="shared" si="4"/>
        <v>0.18750000000000058</v>
      </c>
      <c r="AC4" s="4">
        <v>0.39583333333333298</v>
      </c>
      <c r="AD4" s="5">
        <v>0.75</v>
      </c>
      <c r="AE4" s="14">
        <f t="shared" ref="AE4:AE14" si="11">AD4-AC4</f>
        <v>0.35416666666666702</v>
      </c>
      <c r="AF4" s="15">
        <f>IFERROR(VLOOKUP(AE4,Sayfa1!C:D,2,TRUE),"")</f>
        <v>6.25E-2</v>
      </c>
      <c r="AG4" s="16">
        <f t="shared" si="5"/>
        <v>0.29166666666666702</v>
      </c>
      <c r="AH4" s="4">
        <v>0.60416666666666696</v>
      </c>
      <c r="AI4" s="5">
        <v>0.91666666666666696</v>
      </c>
      <c r="AJ4" s="14">
        <f t="shared" ref="AJ4:AJ14" si="12">AI4-AH4</f>
        <v>0.3125</v>
      </c>
      <c r="AK4" s="15">
        <f>IFERROR(VLOOKUP(AJ4,Sayfa1!C:D,2,TRUE),"")</f>
        <v>4.1666666666666664E-2</v>
      </c>
      <c r="AL4" s="16">
        <f t="shared" ref="AL4:AL14" si="13">IFERROR(AJ4-AK4,"")</f>
        <v>0.27083333333333331</v>
      </c>
      <c r="AM4" s="17">
        <f t="shared" ref="AM4:AM14" si="14">IFERROR(H4+M4+R4+W4+AB4+AG4+AL4,"")</f>
        <v>1.7708333333333361</v>
      </c>
      <c r="AN4" s="18">
        <f>IFERROR(AM4-(Sayfa1!$I$1/24),"")</f>
        <v>-0.10416666666666385</v>
      </c>
      <c r="AO4" s="29"/>
    </row>
    <row r="5" spans="1:41" ht="48" customHeight="1" thickBot="1" x14ac:dyDescent="0.35">
      <c r="A5" s="22">
        <v>3</v>
      </c>
      <c r="B5" s="1" t="s">
        <v>34</v>
      </c>
      <c r="C5" s="2" t="s">
        <v>13</v>
      </c>
      <c r="D5" s="4">
        <v>0.60416666666666696</v>
      </c>
      <c r="E5" s="5">
        <v>0.91666666666666696</v>
      </c>
      <c r="F5" s="14">
        <f t="shared" si="6"/>
        <v>0.3125</v>
      </c>
      <c r="G5" s="15">
        <f>IFERROR(VLOOKUP(F5,Sayfa1!C:D,2,TRUE),"")</f>
        <v>4.1666666666666664E-2</v>
      </c>
      <c r="H5" s="16">
        <f t="shared" si="0"/>
        <v>0.27083333333333331</v>
      </c>
      <c r="I5" s="4">
        <v>0.41666666666666702</v>
      </c>
      <c r="J5" s="5">
        <v>0.91666666666666696</v>
      </c>
      <c r="K5" s="14">
        <f t="shared" si="7"/>
        <v>0.49999999999999994</v>
      </c>
      <c r="L5" s="15">
        <f>IFERROR(VLOOKUP(K5,Sayfa1!C:D,2,TRUE),"")</f>
        <v>8.3333333333333329E-2</v>
      </c>
      <c r="M5" s="16">
        <f t="shared" si="1"/>
        <v>0.41666666666666663</v>
      </c>
      <c r="N5" s="4">
        <v>0.39583333333333298</v>
      </c>
      <c r="O5" s="5">
        <v>0.72916666666666696</v>
      </c>
      <c r="P5" s="14">
        <f t="shared" si="8"/>
        <v>0.33333333333333398</v>
      </c>
      <c r="Q5" s="15">
        <f>IFERROR(VLOOKUP(P5,Sayfa1!C:D,2,TRUE),"")</f>
        <v>4.1666666666666664E-2</v>
      </c>
      <c r="R5" s="16">
        <f t="shared" si="2"/>
        <v>0.2916666666666673</v>
      </c>
      <c r="S5" s="4">
        <v>0</v>
      </c>
      <c r="T5" s="5">
        <v>0</v>
      </c>
      <c r="U5" s="14">
        <f t="shared" si="9"/>
        <v>0</v>
      </c>
      <c r="V5" s="15">
        <f>IFERROR(VLOOKUP(U5,Sayfa1!C:D,2,TRUE),"")</f>
        <v>0</v>
      </c>
      <c r="W5" s="16">
        <f t="shared" si="3"/>
        <v>0</v>
      </c>
      <c r="X5" s="4">
        <v>0.58333333333333304</v>
      </c>
      <c r="Y5" s="5">
        <v>0.91666666666666696</v>
      </c>
      <c r="Z5" s="14">
        <f t="shared" si="10"/>
        <v>0.33333333333333393</v>
      </c>
      <c r="AA5" s="15">
        <f>IFERROR(VLOOKUP(Z5,Sayfa1!C:D,2,TRUE),"")</f>
        <v>4.1666666666666664E-2</v>
      </c>
      <c r="AB5" s="16">
        <f t="shared" si="4"/>
        <v>0.29166666666666724</v>
      </c>
      <c r="AC5" s="4">
        <v>0.60416666666666696</v>
      </c>
      <c r="AD5" s="5">
        <v>0.91666666666666696</v>
      </c>
      <c r="AE5" s="14">
        <f t="shared" si="11"/>
        <v>0.3125</v>
      </c>
      <c r="AF5" s="15">
        <f>IFERROR(VLOOKUP(AE5,Sayfa1!C:D,2,TRUE),"")</f>
        <v>4.1666666666666664E-2</v>
      </c>
      <c r="AG5" s="16">
        <f t="shared" si="5"/>
        <v>0.27083333333333331</v>
      </c>
      <c r="AH5" s="4">
        <v>0.39583333333333298</v>
      </c>
      <c r="AI5" s="5">
        <v>0.72916666666666696</v>
      </c>
      <c r="AJ5" s="14">
        <f t="shared" si="12"/>
        <v>0.33333333333333398</v>
      </c>
      <c r="AK5" s="15">
        <f>IFERROR(VLOOKUP(AJ5,Sayfa1!C:D,2,TRUE),"")</f>
        <v>4.1666666666666664E-2</v>
      </c>
      <c r="AL5" s="16">
        <f t="shared" si="13"/>
        <v>0.2916666666666673</v>
      </c>
      <c r="AM5" s="17">
        <f t="shared" si="14"/>
        <v>1.8333333333333353</v>
      </c>
      <c r="AN5" s="18">
        <f>IFERROR(AM5-(Sayfa1!$I$1/24),"")</f>
        <v>-4.1666666666664742E-2</v>
      </c>
      <c r="AO5" s="29"/>
    </row>
    <row r="6" spans="1:41" ht="48" customHeight="1" thickBot="1" x14ac:dyDescent="0.35">
      <c r="A6" s="22">
        <v>4</v>
      </c>
      <c r="B6" s="1" t="s">
        <v>35</v>
      </c>
      <c r="C6" s="2" t="s">
        <v>13</v>
      </c>
      <c r="D6" s="4">
        <v>0.41666666666666702</v>
      </c>
      <c r="E6" s="5">
        <v>0.95833333333333304</v>
      </c>
      <c r="F6" s="14">
        <f t="shared" si="6"/>
        <v>0.54166666666666607</v>
      </c>
      <c r="G6" s="15">
        <f>IFERROR(VLOOKUP(F6,Sayfa1!C:D,2,TRUE),"")</f>
        <v>8.3333333333333329E-2</v>
      </c>
      <c r="H6" s="16">
        <f t="shared" si="0"/>
        <v>0.45833333333333276</v>
      </c>
      <c r="I6" s="4">
        <v>0</v>
      </c>
      <c r="J6" s="5">
        <v>0</v>
      </c>
      <c r="K6" s="14">
        <f t="shared" si="7"/>
        <v>0</v>
      </c>
      <c r="L6" s="15">
        <f>IFERROR(VLOOKUP(K6,Sayfa1!C:D,2,TRUE),"")</f>
        <v>0</v>
      </c>
      <c r="M6" s="16">
        <f t="shared" si="1"/>
        <v>0</v>
      </c>
      <c r="N6" s="4">
        <v>0.60416666666666696</v>
      </c>
      <c r="O6" s="5">
        <v>0.91666666666666696</v>
      </c>
      <c r="P6" s="14">
        <f t="shared" si="8"/>
        <v>0.3125</v>
      </c>
      <c r="Q6" s="15">
        <f>IFERROR(VLOOKUP(P6,Sayfa1!C:D,2,TRUE),"")</f>
        <v>4.1666666666666664E-2</v>
      </c>
      <c r="R6" s="16">
        <f t="shared" si="2"/>
        <v>0.27083333333333331</v>
      </c>
      <c r="S6" s="4">
        <v>0.58333333333333304</v>
      </c>
      <c r="T6" s="5">
        <v>0.91666666666666696</v>
      </c>
      <c r="U6" s="14">
        <f t="shared" si="9"/>
        <v>0.33333333333333393</v>
      </c>
      <c r="V6" s="15">
        <f>IFERROR(VLOOKUP(U6,Sayfa1!C:D,2,TRUE),"")</f>
        <v>4.1666666666666664E-2</v>
      </c>
      <c r="W6" s="16">
        <f t="shared" si="3"/>
        <v>0.29166666666666724</v>
      </c>
      <c r="X6" s="4">
        <v>0.39583333333333298</v>
      </c>
      <c r="Y6" s="5">
        <v>0.72916666666666696</v>
      </c>
      <c r="Z6" s="14">
        <f t="shared" si="10"/>
        <v>0.33333333333333398</v>
      </c>
      <c r="AA6" s="15">
        <f>IFERROR(VLOOKUP(Z6,Sayfa1!C:D,2,TRUE),"")</f>
        <v>4.1666666666666664E-2</v>
      </c>
      <c r="AB6" s="16">
        <f t="shared" si="4"/>
        <v>0.2916666666666673</v>
      </c>
      <c r="AC6" s="4">
        <v>0.39583333333333298</v>
      </c>
      <c r="AD6" s="5">
        <v>0.72916666666666696</v>
      </c>
      <c r="AE6" s="14">
        <f t="shared" si="11"/>
        <v>0.33333333333333398</v>
      </c>
      <c r="AF6" s="15">
        <f>IFERROR(VLOOKUP(AE6,Sayfa1!C:D,2,TRUE),"")</f>
        <v>4.1666666666666664E-2</v>
      </c>
      <c r="AG6" s="16">
        <f t="shared" si="5"/>
        <v>0.2916666666666673</v>
      </c>
      <c r="AH6" s="4">
        <v>0.60416666666666696</v>
      </c>
      <c r="AI6" s="5">
        <v>0.91666666666666696</v>
      </c>
      <c r="AJ6" s="14">
        <f t="shared" si="12"/>
        <v>0.3125</v>
      </c>
      <c r="AK6" s="15">
        <f>IFERROR(VLOOKUP(AJ6,Sayfa1!C:D,2,TRUE),"")</f>
        <v>4.1666666666666664E-2</v>
      </c>
      <c r="AL6" s="16">
        <f t="shared" si="13"/>
        <v>0.27083333333333331</v>
      </c>
      <c r="AM6" s="17">
        <f t="shared" si="14"/>
        <v>1.8750000000000011</v>
      </c>
      <c r="AN6" s="18">
        <f>IFERROR(AM6-(Sayfa1!$I$1/24),"")</f>
        <v>1.1102230246251565E-15</v>
      </c>
      <c r="AO6" s="29"/>
    </row>
    <row r="7" spans="1:41" ht="48" customHeight="1" thickBot="1" x14ac:dyDescent="0.35">
      <c r="A7" s="22">
        <v>5</v>
      </c>
      <c r="B7" s="1" t="s">
        <v>36</v>
      </c>
      <c r="C7" s="2" t="s">
        <v>13</v>
      </c>
      <c r="D7" s="4">
        <v>0.58333333333333304</v>
      </c>
      <c r="E7" s="5">
        <v>0.91666666666666696</v>
      </c>
      <c r="F7" s="14">
        <f t="shared" si="6"/>
        <v>0.33333333333333393</v>
      </c>
      <c r="G7" s="15">
        <f>IFERROR(VLOOKUP(F7,Sayfa1!C:D,2,TRUE),"")</f>
        <v>4.1666666666666664E-2</v>
      </c>
      <c r="H7" s="16">
        <f t="shared" si="0"/>
        <v>0.29166666666666724</v>
      </c>
      <c r="I7" s="4">
        <v>0.39583333333333298</v>
      </c>
      <c r="J7" s="5">
        <v>0.70833333333333304</v>
      </c>
      <c r="K7" s="14">
        <f t="shared" si="7"/>
        <v>0.31250000000000006</v>
      </c>
      <c r="L7" s="15">
        <f>IFERROR(VLOOKUP(K7,Sayfa1!C:D,2,TRUE),"")</f>
        <v>4.1666666666666664E-2</v>
      </c>
      <c r="M7" s="16">
        <f t="shared" si="1"/>
        <v>0.27083333333333337</v>
      </c>
      <c r="N7" s="4">
        <v>0</v>
      </c>
      <c r="O7" s="5">
        <v>0</v>
      </c>
      <c r="P7" s="14">
        <f t="shared" si="8"/>
        <v>0</v>
      </c>
      <c r="Q7" s="15">
        <f>IFERROR(VLOOKUP(P7,Sayfa1!C:D,2,TRUE),"")</f>
        <v>0</v>
      </c>
      <c r="R7" s="16">
        <f t="shared" si="2"/>
        <v>0</v>
      </c>
      <c r="S7" s="4">
        <v>0.58333333333333304</v>
      </c>
      <c r="T7" s="5">
        <v>0.91666666666666696</v>
      </c>
      <c r="U7" s="14">
        <f t="shared" si="9"/>
        <v>0.33333333333333393</v>
      </c>
      <c r="V7" s="15">
        <f>IFERROR(VLOOKUP(U7,Sayfa1!C:D,2,TRUE),"")</f>
        <v>4.1666666666666664E-2</v>
      </c>
      <c r="W7" s="16">
        <f t="shared" si="3"/>
        <v>0.29166666666666724</v>
      </c>
      <c r="X7" s="4">
        <v>0.39583333333333298</v>
      </c>
      <c r="Y7" s="5">
        <v>0.91666666666666696</v>
      </c>
      <c r="Z7" s="14">
        <f t="shared" si="10"/>
        <v>0.52083333333333393</v>
      </c>
      <c r="AA7" s="15">
        <f>IFERROR(VLOOKUP(Z7,Sayfa1!C:D,2,TRUE),"")</f>
        <v>8.3333333333333329E-2</v>
      </c>
      <c r="AB7" s="16">
        <f t="shared" si="4"/>
        <v>0.43750000000000061</v>
      </c>
      <c r="AC7" s="4">
        <v>0.58333333333333304</v>
      </c>
      <c r="AD7" s="5">
        <v>0.91666666666666696</v>
      </c>
      <c r="AE7" s="14">
        <f t="shared" si="11"/>
        <v>0.33333333333333393</v>
      </c>
      <c r="AF7" s="15">
        <f>IFERROR(VLOOKUP(AE7,Sayfa1!C:D,2,TRUE),"")</f>
        <v>4.1666666666666664E-2</v>
      </c>
      <c r="AG7" s="16">
        <f t="shared" si="5"/>
        <v>0.29166666666666724</v>
      </c>
      <c r="AH7" s="4">
        <v>0.52083333333333304</v>
      </c>
      <c r="AI7" s="5">
        <v>0.83333333333333304</v>
      </c>
      <c r="AJ7" s="14">
        <f t="shared" si="12"/>
        <v>0.3125</v>
      </c>
      <c r="AK7" s="15">
        <f>IFERROR(VLOOKUP(AJ7,Sayfa1!C:D,2,TRUE),"")</f>
        <v>4.1666666666666664E-2</v>
      </c>
      <c r="AL7" s="16">
        <f t="shared" si="13"/>
        <v>0.27083333333333331</v>
      </c>
      <c r="AM7" s="17">
        <f t="shared" si="14"/>
        <v>1.854166666666669</v>
      </c>
      <c r="AN7" s="18">
        <f>IFERROR(AM7-(Sayfa1!$I$1/24),"")</f>
        <v>-2.0833333333331039E-2</v>
      </c>
      <c r="AO7" s="29"/>
    </row>
    <row r="8" spans="1:41" ht="48" customHeight="1" thickBot="1" x14ac:dyDescent="0.35">
      <c r="A8" s="22">
        <v>6</v>
      </c>
      <c r="B8" s="1" t="s">
        <v>37</v>
      </c>
      <c r="C8" s="2" t="s">
        <v>13</v>
      </c>
      <c r="D8" s="4">
        <v>0.39583333333333298</v>
      </c>
      <c r="E8" s="5">
        <v>0.91666666666666696</v>
      </c>
      <c r="F8" s="14">
        <f t="shared" si="6"/>
        <v>0.52083333333333393</v>
      </c>
      <c r="G8" s="15">
        <f>IFERROR(VLOOKUP(F8,Sayfa1!C:D,2,TRUE),"")</f>
        <v>8.3333333333333329E-2</v>
      </c>
      <c r="H8" s="16">
        <f t="shared" si="0"/>
        <v>0.43750000000000061</v>
      </c>
      <c r="I8" s="4">
        <v>0.39583333333333298</v>
      </c>
      <c r="J8" s="5">
        <v>0.91666666666666696</v>
      </c>
      <c r="K8" s="14">
        <f t="shared" si="7"/>
        <v>0.52083333333333393</v>
      </c>
      <c r="L8" s="15">
        <f>IFERROR(VLOOKUP(K8,Sayfa1!C:D,2,TRUE),"")</f>
        <v>8.3333333333333329E-2</v>
      </c>
      <c r="M8" s="16">
        <f t="shared" si="1"/>
        <v>0.43750000000000061</v>
      </c>
      <c r="N8" s="4">
        <v>0.39583333333333298</v>
      </c>
      <c r="O8" s="5">
        <v>0.91666666666666696</v>
      </c>
      <c r="P8" s="14">
        <f t="shared" si="8"/>
        <v>0.52083333333333393</v>
      </c>
      <c r="Q8" s="15">
        <f>IFERROR(VLOOKUP(P8,Sayfa1!C:D,2,TRUE),"")</f>
        <v>8.3333333333333329E-2</v>
      </c>
      <c r="R8" s="16">
        <f t="shared" si="2"/>
        <v>0.43750000000000061</v>
      </c>
      <c r="S8" s="4">
        <v>0.39583333333333298</v>
      </c>
      <c r="T8" s="5">
        <v>0.91666666666666696</v>
      </c>
      <c r="U8" s="14">
        <f t="shared" si="9"/>
        <v>0.52083333333333393</v>
      </c>
      <c r="V8" s="15">
        <f>IFERROR(VLOOKUP(U8,Sayfa1!C:D,2,TRUE),"")</f>
        <v>8.3333333333333329E-2</v>
      </c>
      <c r="W8" s="16">
        <f t="shared" si="3"/>
        <v>0.43750000000000061</v>
      </c>
      <c r="X8" s="4">
        <v>0.60416666666666696</v>
      </c>
      <c r="Y8" s="5">
        <v>0.91666666666666696</v>
      </c>
      <c r="Z8" s="14">
        <f t="shared" si="10"/>
        <v>0.3125</v>
      </c>
      <c r="AA8" s="15">
        <f>IFERROR(VLOOKUP(Z8,Sayfa1!C:D,2,TRUE),"")</f>
        <v>4.1666666666666664E-2</v>
      </c>
      <c r="AB8" s="16">
        <f t="shared" si="4"/>
        <v>0.27083333333333331</v>
      </c>
      <c r="AC8" s="4">
        <v>0.39583333333333298</v>
      </c>
      <c r="AD8" s="5">
        <v>0.91666666666666696</v>
      </c>
      <c r="AE8" s="14">
        <f t="shared" si="11"/>
        <v>0.52083333333333393</v>
      </c>
      <c r="AF8" s="15">
        <f>IFERROR(VLOOKUP(AE8,Sayfa1!C:D,2,TRUE),"")</f>
        <v>8.3333333333333329E-2</v>
      </c>
      <c r="AG8" s="16">
        <f t="shared" si="5"/>
        <v>0.43750000000000061</v>
      </c>
      <c r="AH8" s="4">
        <v>0</v>
      </c>
      <c r="AI8" s="5">
        <v>0.9375</v>
      </c>
      <c r="AJ8" s="14">
        <f t="shared" si="12"/>
        <v>0.9375</v>
      </c>
      <c r="AK8" s="15">
        <f>IFERROR(VLOOKUP(AJ8,Sayfa1!C:D,2,TRUE),"")</f>
        <v>0.10416666666666667</v>
      </c>
      <c r="AL8" s="16">
        <f t="shared" si="13"/>
        <v>0.83333333333333337</v>
      </c>
      <c r="AM8" s="17">
        <f t="shared" si="14"/>
        <v>3.2916666666666696</v>
      </c>
      <c r="AN8" s="18">
        <f>IFERROR(AM8-(Sayfa1!$I$1/24),"")</f>
        <v>1.4166666666666696</v>
      </c>
      <c r="AO8" s="29"/>
    </row>
    <row r="9" spans="1:41" ht="48" customHeight="1" thickBot="1" x14ac:dyDescent="0.35">
      <c r="A9" s="22">
        <v>7</v>
      </c>
      <c r="B9" s="1" t="s">
        <v>38</v>
      </c>
      <c r="C9" s="2" t="s">
        <v>13</v>
      </c>
      <c r="D9" s="4">
        <v>0.60416666666666696</v>
      </c>
      <c r="E9" s="5">
        <v>0.91666666666666696</v>
      </c>
      <c r="F9" s="14">
        <f t="shared" si="6"/>
        <v>0.3125</v>
      </c>
      <c r="G9" s="15">
        <f>IFERROR(VLOOKUP(F9,Sayfa1!C:D,2,TRUE),"")</f>
        <v>4.1666666666666664E-2</v>
      </c>
      <c r="H9" s="16">
        <f t="shared" si="0"/>
        <v>0.27083333333333331</v>
      </c>
      <c r="I9" s="4">
        <v>0.64583333333333304</v>
      </c>
      <c r="J9" s="5">
        <v>0.91666666666666696</v>
      </c>
      <c r="K9" s="14">
        <f t="shared" si="7"/>
        <v>0.27083333333333393</v>
      </c>
      <c r="L9" s="15">
        <f>IFERROR(VLOOKUP(K9,Sayfa1!C:D,2,TRUE),"")</f>
        <v>4.1666666666666664E-2</v>
      </c>
      <c r="M9" s="16">
        <f t="shared" si="1"/>
        <v>0.22916666666666727</v>
      </c>
      <c r="N9" s="4">
        <v>0.58333333333333304</v>
      </c>
      <c r="O9" s="5">
        <v>0.91666666666666696</v>
      </c>
      <c r="P9" s="14">
        <f t="shared" si="8"/>
        <v>0.33333333333333393</v>
      </c>
      <c r="Q9" s="15">
        <f>IFERROR(VLOOKUP(P9,Sayfa1!C:D,2,TRUE),"")</f>
        <v>4.1666666666666664E-2</v>
      </c>
      <c r="R9" s="16">
        <f t="shared" si="2"/>
        <v>0.29166666666666724</v>
      </c>
      <c r="S9" s="4">
        <v>0.39583333333333298</v>
      </c>
      <c r="T9" s="5">
        <v>0.72916666666666696</v>
      </c>
      <c r="U9" s="14">
        <f t="shared" si="9"/>
        <v>0.33333333333333398</v>
      </c>
      <c r="V9" s="15">
        <f>IFERROR(VLOOKUP(U9,Sayfa1!C:D,2,TRUE),"")</f>
        <v>4.1666666666666664E-2</v>
      </c>
      <c r="W9" s="16">
        <f t="shared" si="3"/>
        <v>0.2916666666666673</v>
      </c>
      <c r="X9" s="4">
        <v>0</v>
      </c>
      <c r="Y9" s="5">
        <v>0</v>
      </c>
      <c r="Z9" s="14">
        <f t="shared" si="10"/>
        <v>0</v>
      </c>
      <c r="AA9" s="15">
        <f>IFERROR(VLOOKUP(Z9,Sayfa1!C:D,2,TRUE),"")</f>
        <v>0</v>
      </c>
      <c r="AB9" s="16">
        <f t="shared" si="4"/>
        <v>0</v>
      </c>
      <c r="AC9" s="4">
        <v>0.58333333333333304</v>
      </c>
      <c r="AD9" s="5">
        <v>0.91666666666666696</v>
      </c>
      <c r="AE9" s="14">
        <f t="shared" si="11"/>
        <v>0.33333333333333393</v>
      </c>
      <c r="AF9" s="15">
        <f>IFERROR(VLOOKUP(AE9,Sayfa1!C:D,2,TRUE),"")</f>
        <v>4.1666666666666664E-2</v>
      </c>
      <c r="AG9" s="16">
        <f t="shared" si="5"/>
        <v>0.29166666666666724</v>
      </c>
      <c r="AH9" s="4">
        <v>0.39583333333333298</v>
      </c>
      <c r="AI9" s="5">
        <v>0.91666666666666696</v>
      </c>
      <c r="AJ9" s="14">
        <f t="shared" si="12"/>
        <v>0.52083333333333393</v>
      </c>
      <c r="AK9" s="15">
        <f>IFERROR(VLOOKUP(AJ9,Sayfa1!C:D,2,TRUE),"")</f>
        <v>8.3333333333333329E-2</v>
      </c>
      <c r="AL9" s="16">
        <f t="shared" si="13"/>
        <v>0.43750000000000061</v>
      </c>
      <c r="AM9" s="17">
        <f t="shared" si="14"/>
        <v>1.8125000000000031</v>
      </c>
      <c r="AN9" s="18">
        <f>IFERROR(AM9-(Sayfa1!$I$1/24),"")</f>
        <v>-6.2499999999996891E-2</v>
      </c>
      <c r="AO9" s="29"/>
    </row>
    <row r="10" spans="1:41" ht="48" customHeight="1" thickBot="1" x14ac:dyDescent="0.35">
      <c r="A10" s="22">
        <v>8</v>
      </c>
      <c r="B10" s="1" t="s">
        <v>39</v>
      </c>
      <c r="C10" s="2" t="s">
        <v>13</v>
      </c>
      <c r="D10" s="4">
        <v>0.39583333333333298</v>
      </c>
      <c r="E10" s="5">
        <v>0.72916666666666696</v>
      </c>
      <c r="F10" s="14">
        <f t="shared" si="6"/>
        <v>0.33333333333333398</v>
      </c>
      <c r="G10" s="15">
        <f>IFERROR(VLOOKUP(F10,Sayfa1!C:D,2,TRUE),"")</f>
        <v>4.1666666666666664E-2</v>
      </c>
      <c r="H10" s="16">
        <f t="shared" si="0"/>
        <v>0.2916666666666673</v>
      </c>
      <c r="I10" s="4">
        <v>0.5</v>
      </c>
      <c r="J10" s="5">
        <v>0.79166666666666696</v>
      </c>
      <c r="K10" s="14">
        <f t="shared" si="7"/>
        <v>0.29166666666666696</v>
      </c>
      <c r="L10" s="15">
        <f>IFERROR(VLOOKUP(K10,Sayfa1!C:D,2,TRUE),"")</f>
        <v>4.1666666666666664E-2</v>
      </c>
      <c r="M10" s="16">
        <f t="shared" si="1"/>
        <v>0.25000000000000028</v>
      </c>
      <c r="N10" s="4">
        <v>0.39583333333333298</v>
      </c>
      <c r="O10" s="5">
        <v>0.70833333333333304</v>
      </c>
      <c r="P10" s="14">
        <f t="shared" si="8"/>
        <v>0.31250000000000006</v>
      </c>
      <c r="Q10" s="15">
        <f>IFERROR(VLOOKUP(P10,Sayfa1!C:D,2,TRUE),"")</f>
        <v>4.1666666666666664E-2</v>
      </c>
      <c r="R10" s="16">
        <f t="shared" si="2"/>
        <v>0.27083333333333337</v>
      </c>
      <c r="S10" s="4">
        <v>0</v>
      </c>
      <c r="T10" s="5">
        <v>0</v>
      </c>
      <c r="U10" s="14">
        <f t="shared" si="9"/>
        <v>0</v>
      </c>
      <c r="V10" s="15">
        <f>IFERROR(VLOOKUP(U10,Sayfa1!C:D,2,TRUE),"")</f>
        <v>0</v>
      </c>
      <c r="W10" s="16">
        <f t="shared" si="3"/>
        <v>0</v>
      </c>
      <c r="X10" s="4">
        <v>0.60416666666666696</v>
      </c>
      <c r="Y10" s="5">
        <v>0.91666666666666696</v>
      </c>
      <c r="Z10" s="14">
        <f t="shared" si="10"/>
        <v>0.3125</v>
      </c>
      <c r="AA10" s="15">
        <f>IFERROR(VLOOKUP(Z10,Sayfa1!C:D,2,TRUE),"")</f>
        <v>4.1666666666666664E-2</v>
      </c>
      <c r="AB10" s="16">
        <f t="shared" si="4"/>
        <v>0.27083333333333331</v>
      </c>
      <c r="AC10" s="4">
        <v>0.39583333333333298</v>
      </c>
      <c r="AD10" s="5">
        <v>0.91666666666666696</v>
      </c>
      <c r="AE10" s="14">
        <f t="shared" si="11"/>
        <v>0.52083333333333393</v>
      </c>
      <c r="AF10" s="15">
        <f>IFERROR(VLOOKUP(AE10,Sayfa1!C:D,2,TRUE),"")</f>
        <v>8.3333333333333329E-2</v>
      </c>
      <c r="AG10" s="16">
        <f t="shared" si="5"/>
        <v>0.43750000000000061</v>
      </c>
      <c r="AH10" s="4">
        <v>0.58333333333333304</v>
      </c>
      <c r="AI10" s="5">
        <v>0.91666666666666696</v>
      </c>
      <c r="AJ10" s="14">
        <f t="shared" si="12"/>
        <v>0.33333333333333393</v>
      </c>
      <c r="AK10" s="15">
        <f>IFERROR(VLOOKUP(AJ10,Sayfa1!C:D,2,TRUE),"")</f>
        <v>4.1666666666666664E-2</v>
      </c>
      <c r="AL10" s="16">
        <f t="shared" si="13"/>
        <v>0.29166666666666724</v>
      </c>
      <c r="AM10" s="17">
        <f t="shared" si="14"/>
        <v>1.8125000000000022</v>
      </c>
      <c r="AN10" s="18">
        <f>IFERROR(AM10-(Sayfa1!$I$1/24),"")</f>
        <v>-6.249999999999778E-2</v>
      </c>
      <c r="AO10" s="29"/>
    </row>
    <row r="11" spans="1:41" ht="48" customHeight="1" thickBot="1" x14ac:dyDescent="0.35">
      <c r="A11" s="22">
        <v>9</v>
      </c>
      <c r="B11" s="1"/>
      <c r="C11" s="2" t="s">
        <v>13</v>
      </c>
      <c r="D11" s="4"/>
      <c r="E11" s="5"/>
      <c r="F11" s="14">
        <f t="shared" si="6"/>
        <v>0</v>
      </c>
      <c r="G11" s="15">
        <f>IFERROR(VLOOKUP(F11,Sayfa1!C:D,2,TRUE),"")</f>
        <v>0</v>
      </c>
      <c r="H11" s="16">
        <f t="shared" si="0"/>
        <v>0</v>
      </c>
      <c r="I11" s="4"/>
      <c r="J11" s="5"/>
      <c r="K11" s="14">
        <f t="shared" si="7"/>
        <v>0</v>
      </c>
      <c r="L11" s="15">
        <f>IFERROR(VLOOKUP(K11,Sayfa1!C:D,2,TRUE),"")</f>
        <v>0</v>
      </c>
      <c r="M11" s="16">
        <f t="shared" si="1"/>
        <v>0</v>
      </c>
      <c r="N11" s="4"/>
      <c r="O11" s="5"/>
      <c r="P11" s="14">
        <f t="shared" si="8"/>
        <v>0</v>
      </c>
      <c r="Q11" s="15">
        <f>IFERROR(VLOOKUP(P11,Sayfa1!C:D,2,TRUE),"")</f>
        <v>0</v>
      </c>
      <c r="R11" s="16">
        <f t="shared" si="2"/>
        <v>0</v>
      </c>
      <c r="S11" s="4"/>
      <c r="T11" s="5"/>
      <c r="U11" s="14">
        <f t="shared" si="9"/>
        <v>0</v>
      </c>
      <c r="V11" s="15">
        <f>IFERROR(VLOOKUP(U11,Sayfa1!C:D,2,TRUE),"")</f>
        <v>0</v>
      </c>
      <c r="W11" s="16">
        <f t="shared" si="3"/>
        <v>0</v>
      </c>
      <c r="X11" s="4"/>
      <c r="Y11" s="5"/>
      <c r="Z11" s="14">
        <f t="shared" si="10"/>
        <v>0</v>
      </c>
      <c r="AA11" s="15">
        <f>IFERROR(VLOOKUP(Z11,Sayfa1!C:D,2,TRUE),"")</f>
        <v>0</v>
      </c>
      <c r="AB11" s="16">
        <f t="shared" si="4"/>
        <v>0</v>
      </c>
      <c r="AC11" s="4"/>
      <c r="AD11" s="5"/>
      <c r="AE11" s="14">
        <f t="shared" si="11"/>
        <v>0</v>
      </c>
      <c r="AF11" s="15">
        <f>IFERROR(VLOOKUP(AE11,Sayfa1!C:D,2,TRUE),"")</f>
        <v>0</v>
      </c>
      <c r="AG11" s="16">
        <f t="shared" si="5"/>
        <v>0</v>
      </c>
      <c r="AH11" s="4"/>
      <c r="AI11" s="5"/>
      <c r="AJ11" s="14">
        <f t="shared" si="12"/>
        <v>0</v>
      </c>
      <c r="AK11" s="15">
        <f>IFERROR(VLOOKUP(AJ11,Sayfa1!C:D,2,TRUE),"")</f>
        <v>0</v>
      </c>
      <c r="AL11" s="16">
        <f t="shared" si="13"/>
        <v>0</v>
      </c>
      <c r="AM11" s="17">
        <f t="shared" si="14"/>
        <v>0</v>
      </c>
      <c r="AN11" s="18">
        <f>IFERROR(AM11-(Sayfa1!$I$1/24),"")</f>
        <v>-1.875</v>
      </c>
      <c r="AO11" s="29"/>
    </row>
    <row r="12" spans="1:41" ht="48" customHeight="1" thickBot="1" x14ac:dyDescent="0.35">
      <c r="A12" s="22">
        <v>10</v>
      </c>
      <c r="B12" s="1"/>
      <c r="C12" s="2" t="s">
        <v>13</v>
      </c>
      <c r="D12" s="4"/>
      <c r="E12" s="5"/>
      <c r="F12" s="14">
        <f t="shared" si="6"/>
        <v>0</v>
      </c>
      <c r="G12" s="15">
        <f>IFERROR(VLOOKUP(F12,Sayfa1!C:D,2,TRUE),"")</f>
        <v>0</v>
      </c>
      <c r="H12" s="16">
        <f t="shared" si="0"/>
        <v>0</v>
      </c>
      <c r="I12" s="4"/>
      <c r="J12" s="5"/>
      <c r="K12" s="14">
        <f t="shared" si="7"/>
        <v>0</v>
      </c>
      <c r="L12" s="15">
        <f>IFERROR(VLOOKUP(K12,Sayfa1!C:D,2,TRUE),"")</f>
        <v>0</v>
      </c>
      <c r="M12" s="16">
        <f t="shared" si="1"/>
        <v>0</v>
      </c>
      <c r="N12" s="4"/>
      <c r="O12" s="5"/>
      <c r="P12" s="14">
        <f t="shared" si="8"/>
        <v>0</v>
      </c>
      <c r="Q12" s="15">
        <f>IFERROR(VLOOKUP(P12,Sayfa1!C:D,2,TRUE),"")</f>
        <v>0</v>
      </c>
      <c r="R12" s="16">
        <f t="shared" si="2"/>
        <v>0</v>
      </c>
      <c r="S12" s="4"/>
      <c r="T12" s="5"/>
      <c r="U12" s="14">
        <f t="shared" si="9"/>
        <v>0</v>
      </c>
      <c r="V12" s="15">
        <f>IFERROR(VLOOKUP(U12,Sayfa1!C:D,2,TRUE),"")</f>
        <v>0</v>
      </c>
      <c r="W12" s="16">
        <f t="shared" si="3"/>
        <v>0</v>
      </c>
      <c r="X12" s="4"/>
      <c r="Y12" s="5"/>
      <c r="Z12" s="14">
        <f t="shared" si="10"/>
        <v>0</v>
      </c>
      <c r="AA12" s="15">
        <f>IFERROR(VLOOKUP(Z12,Sayfa1!C:D,2,TRUE),"")</f>
        <v>0</v>
      </c>
      <c r="AB12" s="16">
        <f t="shared" si="4"/>
        <v>0</v>
      </c>
      <c r="AC12" s="4"/>
      <c r="AD12" s="5"/>
      <c r="AE12" s="14">
        <f t="shared" si="11"/>
        <v>0</v>
      </c>
      <c r="AF12" s="15">
        <f>IFERROR(VLOOKUP(AE12,Sayfa1!C:D,2,TRUE),"")</f>
        <v>0</v>
      </c>
      <c r="AG12" s="16">
        <f t="shared" si="5"/>
        <v>0</v>
      </c>
      <c r="AH12" s="4"/>
      <c r="AI12" s="5"/>
      <c r="AJ12" s="14">
        <f t="shared" si="12"/>
        <v>0</v>
      </c>
      <c r="AK12" s="15">
        <f>IFERROR(VLOOKUP(AJ12,Sayfa1!C:D,2,TRUE),"")</f>
        <v>0</v>
      </c>
      <c r="AL12" s="16">
        <f t="shared" si="13"/>
        <v>0</v>
      </c>
      <c r="AM12" s="17">
        <f t="shared" si="14"/>
        <v>0</v>
      </c>
      <c r="AN12" s="18">
        <f>IFERROR(AM12-(Sayfa1!$I$1/24),"")</f>
        <v>-1.875</v>
      </c>
      <c r="AO12" s="29"/>
    </row>
    <row r="13" spans="1:41" ht="48" customHeight="1" thickBot="1" x14ac:dyDescent="0.35">
      <c r="A13" s="22">
        <v>11</v>
      </c>
      <c r="B13" s="1"/>
      <c r="C13" s="2" t="s">
        <v>13</v>
      </c>
      <c r="D13" s="4"/>
      <c r="E13" s="5"/>
      <c r="F13" s="14">
        <f t="shared" si="6"/>
        <v>0</v>
      </c>
      <c r="G13" s="15">
        <f>IFERROR(VLOOKUP(F13,Sayfa1!C:D,2,TRUE),"")</f>
        <v>0</v>
      </c>
      <c r="H13" s="16">
        <f t="shared" si="0"/>
        <v>0</v>
      </c>
      <c r="I13" s="4"/>
      <c r="J13" s="5"/>
      <c r="K13" s="14">
        <f t="shared" si="7"/>
        <v>0</v>
      </c>
      <c r="L13" s="15">
        <f>IFERROR(VLOOKUP(K13,Sayfa1!C:D,2,TRUE),"")</f>
        <v>0</v>
      </c>
      <c r="M13" s="16">
        <f t="shared" si="1"/>
        <v>0</v>
      </c>
      <c r="N13" s="4"/>
      <c r="O13" s="5"/>
      <c r="P13" s="14">
        <f t="shared" si="8"/>
        <v>0</v>
      </c>
      <c r="Q13" s="15">
        <f>IFERROR(VLOOKUP(P13,Sayfa1!C:D,2,TRUE),"")</f>
        <v>0</v>
      </c>
      <c r="R13" s="16">
        <f t="shared" si="2"/>
        <v>0</v>
      </c>
      <c r="S13" s="4"/>
      <c r="T13" s="5"/>
      <c r="U13" s="14">
        <f t="shared" si="9"/>
        <v>0</v>
      </c>
      <c r="V13" s="15">
        <f>IFERROR(VLOOKUP(U13,Sayfa1!C:D,2,TRUE),"")</f>
        <v>0</v>
      </c>
      <c r="W13" s="16">
        <f t="shared" si="3"/>
        <v>0</v>
      </c>
      <c r="X13" s="4"/>
      <c r="Y13" s="5"/>
      <c r="Z13" s="14">
        <f t="shared" si="10"/>
        <v>0</v>
      </c>
      <c r="AA13" s="15">
        <f>IFERROR(VLOOKUP(Z13,Sayfa1!C:D,2,TRUE),"")</f>
        <v>0</v>
      </c>
      <c r="AB13" s="16">
        <f t="shared" si="4"/>
        <v>0</v>
      </c>
      <c r="AC13" s="4"/>
      <c r="AD13" s="5"/>
      <c r="AE13" s="14">
        <f t="shared" si="11"/>
        <v>0</v>
      </c>
      <c r="AF13" s="15">
        <f>IFERROR(VLOOKUP(AE13,Sayfa1!C:D,2,TRUE),"")</f>
        <v>0</v>
      </c>
      <c r="AG13" s="16">
        <f t="shared" si="5"/>
        <v>0</v>
      </c>
      <c r="AH13" s="4"/>
      <c r="AI13" s="5"/>
      <c r="AJ13" s="14">
        <f t="shared" si="12"/>
        <v>0</v>
      </c>
      <c r="AK13" s="15">
        <f>IFERROR(VLOOKUP(AJ13,Sayfa1!C:D,2,TRUE),"")</f>
        <v>0</v>
      </c>
      <c r="AL13" s="16">
        <f t="shared" si="13"/>
        <v>0</v>
      </c>
      <c r="AM13" s="17">
        <f t="shared" si="14"/>
        <v>0</v>
      </c>
      <c r="AN13" s="18">
        <f>IFERROR(AM13-(Sayfa1!$I$1/24),"")</f>
        <v>-1.875</v>
      </c>
      <c r="AO13" s="29"/>
    </row>
    <row r="14" spans="1:41" ht="48" customHeight="1" thickBot="1" x14ac:dyDescent="0.35">
      <c r="A14" s="23">
        <v>12</v>
      </c>
      <c r="B14" s="24"/>
      <c r="C14" s="2" t="s">
        <v>13</v>
      </c>
      <c r="D14" s="4"/>
      <c r="E14" s="5"/>
      <c r="F14" s="14">
        <f t="shared" si="6"/>
        <v>0</v>
      </c>
      <c r="G14" s="15">
        <f>IFERROR(VLOOKUP(F14,Sayfa1!C:D,2,TRUE),"")</f>
        <v>0</v>
      </c>
      <c r="H14" s="16">
        <f t="shared" si="0"/>
        <v>0</v>
      </c>
      <c r="I14" s="4"/>
      <c r="J14" s="5"/>
      <c r="K14" s="14">
        <f t="shared" si="7"/>
        <v>0</v>
      </c>
      <c r="L14" s="15">
        <f>IFERROR(VLOOKUP(K14,Sayfa1!C:D,2,TRUE),"")</f>
        <v>0</v>
      </c>
      <c r="M14" s="16">
        <f t="shared" si="1"/>
        <v>0</v>
      </c>
      <c r="N14" s="4"/>
      <c r="O14" s="5"/>
      <c r="P14" s="14">
        <f t="shared" si="8"/>
        <v>0</v>
      </c>
      <c r="Q14" s="15">
        <f>IFERROR(VLOOKUP(P14,Sayfa1!C:D,2,TRUE),"")</f>
        <v>0</v>
      </c>
      <c r="R14" s="16">
        <f t="shared" si="2"/>
        <v>0</v>
      </c>
      <c r="S14" s="4"/>
      <c r="T14" s="5"/>
      <c r="U14" s="14">
        <f t="shared" si="9"/>
        <v>0</v>
      </c>
      <c r="V14" s="15">
        <f>IFERROR(VLOOKUP(U14,Sayfa1!C:D,2,TRUE),"")</f>
        <v>0</v>
      </c>
      <c r="W14" s="16">
        <f t="shared" si="3"/>
        <v>0</v>
      </c>
      <c r="X14" s="4"/>
      <c r="Y14" s="5"/>
      <c r="Z14" s="14">
        <f t="shared" si="10"/>
        <v>0</v>
      </c>
      <c r="AA14" s="15">
        <f>IFERROR(VLOOKUP(Z14,Sayfa1!C:D,2,TRUE),"")</f>
        <v>0</v>
      </c>
      <c r="AB14" s="16">
        <f t="shared" si="4"/>
        <v>0</v>
      </c>
      <c r="AC14" s="4"/>
      <c r="AD14" s="5"/>
      <c r="AE14" s="14">
        <f t="shared" si="11"/>
        <v>0</v>
      </c>
      <c r="AF14" s="15">
        <f>IFERROR(VLOOKUP(AE14,Sayfa1!C:D,2,TRUE),"")</f>
        <v>0</v>
      </c>
      <c r="AG14" s="16">
        <f t="shared" si="5"/>
        <v>0</v>
      </c>
      <c r="AH14" s="4"/>
      <c r="AI14" s="5"/>
      <c r="AJ14" s="14">
        <f t="shared" si="12"/>
        <v>0</v>
      </c>
      <c r="AK14" s="15">
        <f>IFERROR(VLOOKUP(AJ14,Sayfa1!C:D,2,TRUE),"")</f>
        <v>0</v>
      </c>
      <c r="AL14" s="16">
        <f t="shared" si="13"/>
        <v>0</v>
      </c>
      <c r="AM14" s="17">
        <f t="shared" si="14"/>
        <v>0</v>
      </c>
      <c r="AN14" s="18">
        <f>IFERROR(AM14-(Sayfa1!$I$1/24),"")</f>
        <v>-1.875</v>
      </c>
      <c r="AO14" s="29"/>
    </row>
    <row r="15" spans="1:41" ht="15" thickTop="1" x14ac:dyDescent="0.3"/>
    <row r="19" spans="1:25" ht="15" thickBot="1" x14ac:dyDescent="0.35"/>
    <row r="20" spans="1:25" ht="55.05" customHeight="1" thickTop="1" thickBot="1" x14ac:dyDescent="0.35">
      <c r="A20" s="25" t="s">
        <v>0</v>
      </c>
      <c r="B20" s="28" t="s">
        <v>4</v>
      </c>
      <c r="C20" s="40" t="s">
        <v>18</v>
      </c>
      <c r="D20" s="40"/>
      <c r="E20" s="40" t="s">
        <v>15</v>
      </c>
      <c r="F20" s="40"/>
      <c r="G20" s="40" t="s">
        <v>16</v>
      </c>
      <c r="H20" s="40"/>
      <c r="I20" s="40" t="s">
        <v>17</v>
      </c>
      <c r="J20" s="41"/>
      <c r="L20" s="42" t="s">
        <v>20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4"/>
    </row>
    <row r="21" spans="1:25" ht="48" customHeight="1" thickBot="1" x14ac:dyDescent="0.35">
      <c r="A21" s="22">
        <v>1</v>
      </c>
      <c r="B21" s="26" t="s">
        <v>32</v>
      </c>
      <c r="C21" s="36">
        <v>50</v>
      </c>
      <c r="D21" s="36"/>
      <c r="E21" s="36" t="s">
        <v>48</v>
      </c>
      <c r="F21" s="36"/>
      <c r="G21" s="36">
        <v>0</v>
      </c>
      <c r="H21" s="36"/>
      <c r="I21" s="36" t="s">
        <v>49</v>
      </c>
      <c r="J21" s="37"/>
      <c r="L21" s="22">
        <v>1</v>
      </c>
      <c r="M21" s="38" t="s">
        <v>21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9"/>
    </row>
    <row r="22" spans="1:25" ht="48" customHeight="1" thickBot="1" x14ac:dyDescent="0.35">
      <c r="A22" s="22">
        <v>2</v>
      </c>
      <c r="B22" s="26" t="s">
        <v>40</v>
      </c>
      <c r="C22" s="36" t="s">
        <v>50</v>
      </c>
      <c r="D22" s="36"/>
      <c r="E22" s="36">
        <v>0</v>
      </c>
      <c r="F22" s="36"/>
      <c r="G22" s="36">
        <v>0</v>
      </c>
      <c r="H22" s="36"/>
      <c r="I22" s="36" t="s">
        <v>50</v>
      </c>
      <c r="J22" s="37"/>
      <c r="L22" s="22">
        <v>2</v>
      </c>
      <c r="M22" s="38" t="s">
        <v>22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9"/>
    </row>
    <row r="23" spans="1:25" ht="48" customHeight="1" thickBot="1" x14ac:dyDescent="0.35">
      <c r="A23" s="22">
        <v>3</v>
      </c>
      <c r="B23" s="26" t="s">
        <v>34</v>
      </c>
      <c r="C23" s="36">
        <v>2</v>
      </c>
      <c r="D23" s="36"/>
      <c r="E23" s="36">
        <v>0</v>
      </c>
      <c r="F23" s="36"/>
      <c r="G23" s="36">
        <v>0</v>
      </c>
      <c r="H23" s="36"/>
      <c r="I23" s="36">
        <v>1</v>
      </c>
      <c r="J23" s="37"/>
      <c r="L23" s="22">
        <v>3</v>
      </c>
      <c r="M23" s="38" t="s">
        <v>28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9"/>
    </row>
    <row r="24" spans="1:25" ht="48" customHeight="1" thickBot="1" x14ac:dyDescent="0.35">
      <c r="A24" s="22">
        <v>4</v>
      </c>
      <c r="B24" s="26" t="s">
        <v>35</v>
      </c>
      <c r="C24" s="36">
        <v>11</v>
      </c>
      <c r="D24" s="36"/>
      <c r="E24" s="36">
        <v>0</v>
      </c>
      <c r="F24" s="36"/>
      <c r="G24" s="36">
        <v>0</v>
      </c>
      <c r="H24" s="36"/>
      <c r="I24" s="36">
        <v>11</v>
      </c>
      <c r="J24" s="37"/>
      <c r="L24" s="22">
        <v>4</v>
      </c>
      <c r="M24" s="38" t="s">
        <v>29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9"/>
    </row>
    <row r="25" spans="1:25" ht="48" customHeight="1" thickBot="1" x14ac:dyDescent="0.35">
      <c r="A25" s="22">
        <v>5</v>
      </c>
      <c r="B25" s="26" t="s">
        <v>41</v>
      </c>
      <c r="C25" s="36" t="s">
        <v>45</v>
      </c>
      <c r="D25" s="36"/>
      <c r="E25" s="36" t="s">
        <v>45</v>
      </c>
      <c r="F25" s="36"/>
      <c r="G25" s="36">
        <v>0</v>
      </c>
      <c r="H25" s="36"/>
      <c r="I25" s="36">
        <v>0</v>
      </c>
      <c r="J25" s="37"/>
      <c r="L25" s="22">
        <v>5</v>
      </c>
      <c r="M25" s="38" t="s">
        <v>27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9"/>
    </row>
    <row r="26" spans="1:25" ht="48" customHeight="1" thickBot="1" x14ac:dyDescent="0.35">
      <c r="A26" s="22">
        <v>6</v>
      </c>
      <c r="B26" s="26" t="s">
        <v>37</v>
      </c>
      <c r="C26" s="36">
        <v>-7</v>
      </c>
      <c r="D26" s="36"/>
      <c r="E26" s="36">
        <v>34</v>
      </c>
      <c r="F26" s="36"/>
      <c r="G26" s="36">
        <v>0</v>
      </c>
      <c r="H26" s="36"/>
      <c r="I26" s="36">
        <v>28</v>
      </c>
      <c r="J26" s="37"/>
      <c r="L26" s="22">
        <v>6</v>
      </c>
      <c r="M26" s="38" t="s">
        <v>26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9"/>
    </row>
    <row r="27" spans="1:25" ht="48" customHeight="1" thickBot="1" x14ac:dyDescent="0.35">
      <c r="A27" s="22">
        <v>7</v>
      </c>
      <c r="B27" s="26" t="s">
        <v>38</v>
      </c>
      <c r="C27" s="36" t="s">
        <v>43</v>
      </c>
      <c r="D27" s="36"/>
      <c r="E27" s="36" t="s">
        <v>43</v>
      </c>
      <c r="F27" s="36"/>
      <c r="G27" s="36">
        <v>0</v>
      </c>
      <c r="H27" s="36"/>
      <c r="I27" s="36">
        <v>0</v>
      </c>
      <c r="J27" s="37"/>
      <c r="L27" s="22">
        <v>7</v>
      </c>
      <c r="M27" s="38" t="s">
        <v>24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9"/>
    </row>
    <row r="28" spans="1:25" ht="48" customHeight="1" thickBot="1" x14ac:dyDescent="0.35">
      <c r="A28" s="22">
        <v>8</v>
      </c>
      <c r="B28" s="26" t="s">
        <v>39</v>
      </c>
      <c r="C28" s="36" t="s">
        <v>43</v>
      </c>
      <c r="D28" s="36"/>
      <c r="E28" s="36" t="s">
        <v>43</v>
      </c>
      <c r="F28" s="36"/>
      <c r="G28" s="36">
        <v>0</v>
      </c>
      <c r="H28" s="36"/>
      <c r="I28" s="36">
        <v>0</v>
      </c>
      <c r="J28" s="37"/>
      <c r="L28" s="22">
        <v>8</v>
      </c>
      <c r="M28" s="38" t="s">
        <v>23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9"/>
    </row>
    <row r="29" spans="1:25" ht="48" customHeight="1" thickBot="1" x14ac:dyDescent="0.35">
      <c r="A29" s="22">
        <v>9</v>
      </c>
      <c r="B29" s="26"/>
      <c r="C29" s="36"/>
      <c r="D29" s="36"/>
      <c r="E29" s="36"/>
      <c r="F29" s="36"/>
      <c r="G29" s="36"/>
      <c r="H29" s="36"/>
      <c r="I29" s="36"/>
      <c r="J29" s="37"/>
      <c r="L29" s="22">
        <v>9</v>
      </c>
      <c r="M29" s="38" t="s">
        <v>25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9"/>
    </row>
    <row r="30" spans="1:25" ht="48" customHeight="1" thickBot="1" x14ac:dyDescent="0.35">
      <c r="A30" s="23">
        <v>10</v>
      </c>
      <c r="B30" s="27"/>
      <c r="C30" s="32"/>
      <c r="D30" s="32"/>
      <c r="E30" s="32"/>
      <c r="F30" s="32"/>
      <c r="G30" s="32"/>
      <c r="H30" s="32"/>
      <c r="I30" s="32"/>
      <c r="J30" s="33"/>
      <c r="L30" s="23">
        <v>10</v>
      </c>
      <c r="M30" s="34" t="s">
        <v>30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5"/>
    </row>
    <row r="31" spans="1:25" ht="15" thickTop="1" x14ac:dyDescent="0.3"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5" spans="13:13" x14ac:dyDescent="0.3">
      <c r="M35" s="31"/>
    </row>
  </sheetData>
  <sheetProtection algorithmName="SHA-512" hashValue="U3Tmx2YyB3XG4SVBKwfISq9/jTRLK2cD8gXp748nG+M4PPHPsPIxOAihGM5XSkk9lMobEa7xinc765zRe6/n5Q==" saltValue="SfD1bj5UKp8cnwToAQeRRA==" spinCount="100000" sheet="1" objects="1" scenarios="1"/>
  <mergeCells count="67">
    <mergeCell ref="AO1:AO2"/>
    <mergeCell ref="A1:A2"/>
    <mergeCell ref="B1:B2"/>
    <mergeCell ref="C1:C2"/>
    <mergeCell ref="D1:H1"/>
    <mergeCell ref="I1:M1"/>
    <mergeCell ref="N1:R1"/>
    <mergeCell ref="S1:W1"/>
    <mergeCell ref="X1:AB1"/>
    <mergeCell ref="AC1:AG1"/>
    <mergeCell ref="AH1:AL1"/>
    <mergeCell ref="AM1:AN1"/>
    <mergeCell ref="C21:D21"/>
    <mergeCell ref="E21:F21"/>
    <mergeCell ref="G21:H21"/>
    <mergeCell ref="I21:J21"/>
    <mergeCell ref="M21:Y21"/>
    <mergeCell ref="C20:D20"/>
    <mergeCell ref="E20:F20"/>
    <mergeCell ref="G20:H20"/>
    <mergeCell ref="I20:J20"/>
    <mergeCell ref="L20:Y20"/>
    <mergeCell ref="C23:D23"/>
    <mergeCell ref="E23:F23"/>
    <mergeCell ref="G23:H23"/>
    <mergeCell ref="I23:J23"/>
    <mergeCell ref="M23:Y23"/>
    <mergeCell ref="C22:D22"/>
    <mergeCell ref="E22:F22"/>
    <mergeCell ref="G22:H22"/>
    <mergeCell ref="I22:J22"/>
    <mergeCell ref="M22:Y22"/>
    <mergeCell ref="C25:D25"/>
    <mergeCell ref="E25:F25"/>
    <mergeCell ref="G25:H25"/>
    <mergeCell ref="I25:J25"/>
    <mergeCell ref="M25:Y25"/>
    <mergeCell ref="C24:D24"/>
    <mergeCell ref="E24:F24"/>
    <mergeCell ref="G24:H24"/>
    <mergeCell ref="I24:J24"/>
    <mergeCell ref="M24:Y24"/>
    <mergeCell ref="C27:D27"/>
    <mergeCell ref="E27:F27"/>
    <mergeCell ref="G27:H27"/>
    <mergeCell ref="I27:J27"/>
    <mergeCell ref="M27:Y27"/>
    <mergeCell ref="C26:D26"/>
    <mergeCell ref="E26:F26"/>
    <mergeCell ref="G26:H26"/>
    <mergeCell ref="I26:J26"/>
    <mergeCell ref="M26:Y26"/>
    <mergeCell ref="C29:D29"/>
    <mergeCell ref="E29:F29"/>
    <mergeCell ref="G29:H29"/>
    <mergeCell ref="I29:J29"/>
    <mergeCell ref="M29:Y29"/>
    <mergeCell ref="C28:D28"/>
    <mergeCell ref="E28:F28"/>
    <mergeCell ref="G28:H28"/>
    <mergeCell ref="I28:J28"/>
    <mergeCell ref="M28:Y28"/>
    <mergeCell ref="C30:D30"/>
    <mergeCell ref="E30:F30"/>
    <mergeCell ref="G30:H30"/>
    <mergeCell ref="I30:J30"/>
    <mergeCell ref="M30:Y30"/>
  </mergeCells>
  <printOptions horizontalCentered="1" verticalCentered="1"/>
  <pageMargins left="0" right="0" top="0" bottom="0" header="0" footer="0"/>
  <pageSetup paperSize="9" scale="2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8B5275-7C17-488E-8C82-BC2523290F97}">
          <x14:formula1>
            <xm:f>Sayfa1!$A$1:$A$48</xm:f>
          </x14:formula1>
          <xm:sqref>D3:E14 AC3:AD14 X3:Y14 S3:T14 N3:O14 I3:J14 AH3:AI14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B802-A113-4881-A879-3437BB46490D}">
  <sheetPr>
    <pageSetUpPr fitToPage="1"/>
  </sheetPr>
  <dimension ref="A1:AO35"/>
  <sheetViews>
    <sheetView zoomScale="40" zoomScaleNormal="40" workbookViewId="0">
      <selection activeCell="AH8" sqref="AH8"/>
    </sheetView>
  </sheetViews>
  <sheetFormatPr defaultColWidth="9.109375" defaultRowHeight="14.4" x14ac:dyDescent="0.3"/>
  <cols>
    <col min="1" max="1" width="8.44140625" style="13" bestFit="1" customWidth="1"/>
    <col min="2" max="2" width="25.77734375" style="13" customWidth="1"/>
    <col min="3" max="3" width="14.5546875" style="13" bestFit="1" customWidth="1"/>
    <col min="4" max="4" width="11.21875" style="13" bestFit="1" customWidth="1"/>
    <col min="5" max="5" width="11.21875" style="13" customWidth="1"/>
    <col min="6" max="7" width="11.21875" style="13" bestFit="1" customWidth="1"/>
    <col min="8" max="8" width="11.21875" style="13" customWidth="1"/>
    <col min="9" max="10" width="11.21875" style="13" bestFit="1" customWidth="1"/>
    <col min="11" max="11" width="11.21875" style="13" customWidth="1"/>
    <col min="12" max="38" width="11.21875" style="13" bestFit="1" customWidth="1"/>
    <col min="39" max="40" width="20.77734375" style="13" customWidth="1"/>
    <col min="41" max="41" width="40.77734375" style="13" customWidth="1"/>
    <col min="42" max="16384" width="9.109375" style="13"/>
  </cols>
  <sheetData>
    <row r="1" spans="1:41" s="7" customFormat="1" ht="25.5" customHeight="1" thickTop="1" thickBot="1" x14ac:dyDescent="0.35">
      <c r="A1" s="47" t="s">
        <v>0</v>
      </c>
      <c r="B1" s="49" t="s">
        <v>4</v>
      </c>
      <c r="C1" s="51" t="s">
        <v>1</v>
      </c>
      <c r="D1" s="53">
        <v>46293</v>
      </c>
      <c r="E1" s="54"/>
      <c r="F1" s="54"/>
      <c r="G1" s="54"/>
      <c r="H1" s="55"/>
      <c r="I1" s="53">
        <f>D1+1</f>
        <v>46294</v>
      </c>
      <c r="J1" s="54"/>
      <c r="K1" s="54"/>
      <c r="L1" s="54"/>
      <c r="M1" s="55"/>
      <c r="N1" s="53">
        <f>I1+1</f>
        <v>46295</v>
      </c>
      <c r="O1" s="54"/>
      <c r="P1" s="54"/>
      <c r="Q1" s="54"/>
      <c r="R1" s="55"/>
      <c r="S1" s="53">
        <f>N1+1</f>
        <v>46296</v>
      </c>
      <c r="T1" s="54"/>
      <c r="U1" s="54"/>
      <c r="V1" s="54"/>
      <c r="W1" s="55"/>
      <c r="X1" s="53">
        <f>S1+1</f>
        <v>46297</v>
      </c>
      <c r="Y1" s="54"/>
      <c r="Z1" s="54"/>
      <c r="AA1" s="54"/>
      <c r="AB1" s="55"/>
      <c r="AC1" s="53">
        <f>X1+1</f>
        <v>46298</v>
      </c>
      <c r="AD1" s="54"/>
      <c r="AE1" s="54"/>
      <c r="AF1" s="54"/>
      <c r="AG1" s="55"/>
      <c r="AH1" s="53">
        <f>AC1+1</f>
        <v>46299</v>
      </c>
      <c r="AI1" s="54"/>
      <c r="AJ1" s="54"/>
      <c r="AK1" s="54"/>
      <c r="AL1" s="55"/>
      <c r="AM1" s="56" t="s">
        <v>12</v>
      </c>
      <c r="AN1" s="57"/>
      <c r="AO1" s="45" t="s">
        <v>19</v>
      </c>
    </row>
    <row r="2" spans="1:41" ht="41.4" customHeight="1" thickBot="1" x14ac:dyDescent="0.35">
      <c r="A2" s="48"/>
      <c r="B2" s="50"/>
      <c r="C2" s="52"/>
      <c r="D2" s="8" t="s">
        <v>2</v>
      </c>
      <c r="E2" s="9" t="s">
        <v>3</v>
      </c>
      <c r="F2" s="10" t="s">
        <v>7</v>
      </c>
      <c r="G2" s="10" t="s">
        <v>6</v>
      </c>
      <c r="H2" s="11" t="s">
        <v>8</v>
      </c>
      <c r="I2" s="8" t="s">
        <v>2</v>
      </c>
      <c r="J2" s="9" t="s">
        <v>3</v>
      </c>
      <c r="K2" s="10" t="s">
        <v>7</v>
      </c>
      <c r="L2" s="10" t="s">
        <v>6</v>
      </c>
      <c r="M2" s="11" t="s">
        <v>8</v>
      </c>
      <c r="N2" s="8" t="s">
        <v>2</v>
      </c>
      <c r="O2" s="9" t="s">
        <v>3</v>
      </c>
      <c r="P2" s="10" t="s">
        <v>7</v>
      </c>
      <c r="Q2" s="10" t="s">
        <v>6</v>
      </c>
      <c r="R2" s="11" t="s">
        <v>8</v>
      </c>
      <c r="S2" s="8" t="s">
        <v>2</v>
      </c>
      <c r="T2" s="9" t="s">
        <v>3</v>
      </c>
      <c r="U2" s="10" t="s">
        <v>7</v>
      </c>
      <c r="V2" s="10" t="s">
        <v>6</v>
      </c>
      <c r="W2" s="11" t="s">
        <v>8</v>
      </c>
      <c r="X2" s="8" t="s">
        <v>2</v>
      </c>
      <c r="Y2" s="9" t="s">
        <v>3</v>
      </c>
      <c r="Z2" s="10" t="s">
        <v>7</v>
      </c>
      <c r="AA2" s="10" t="s">
        <v>6</v>
      </c>
      <c r="AB2" s="11" t="s">
        <v>8</v>
      </c>
      <c r="AC2" s="8" t="s">
        <v>2</v>
      </c>
      <c r="AD2" s="9" t="s">
        <v>3</v>
      </c>
      <c r="AE2" s="10" t="s">
        <v>7</v>
      </c>
      <c r="AF2" s="10" t="s">
        <v>6</v>
      </c>
      <c r="AG2" s="11" t="s">
        <v>8</v>
      </c>
      <c r="AH2" s="8" t="s">
        <v>2</v>
      </c>
      <c r="AI2" s="9" t="s">
        <v>3</v>
      </c>
      <c r="AJ2" s="10" t="s">
        <v>7</v>
      </c>
      <c r="AK2" s="10" t="s">
        <v>6</v>
      </c>
      <c r="AL2" s="11" t="s">
        <v>8</v>
      </c>
      <c r="AM2" s="12" t="s">
        <v>10</v>
      </c>
      <c r="AN2" s="11" t="s">
        <v>11</v>
      </c>
      <c r="AO2" s="46"/>
    </row>
    <row r="3" spans="1:41" ht="48" customHeight="1" thickBot="1" x14ac:dyDescent="0.35">
      <c r="A3" s="22">
        <v>1</v>
      </c>
      <c r="B3" s="1" t="s">
        <v>32</v>
      </c>
      <c r="C3" s="2" t="s">
        <v>5</v>
      </c>
      <c r="D3" s="4">
        <v>0.39583333333333298</v>
      </c>
      <c r="E3" s="5">
        <v>0.72916666666666696</v>
      </c>
      <c r="F3" s="14">
        <f>E3-D3</f>
        <v>0.33333333333333398</v>
      </c>
      <c r="G3" s="15">
        <f>IFERROR(VLOOKUP(F3,Sayfa1!C:D,2,TRUE),"")</f>
        <v>4.1666666666666664E-2</v>
      </c>
      <c r="H3" s="16">
        <f t="shared" ref="H3:H14" si="0">IFERROR(F3-G3,"")</f>
        <v>0.2916666666666673</v>
      </c>
      <c r="I3" s="4">
        <v>0</v>
      </c>
      <c r="J3" s="5">
        <v>0</v>
      </c>
      <c r="K3" s="14">
        <f>J3-I3</f>
        <v>0</v>
      </c>
      <c r="L3" s="15">
        <f>IFERROR(VLOOKUP(K3,Sayfa1!C:D,2,TRUE),"")</f>
        <v>0</v>
      </c>
      <c r="M3" s="16">
        <f t="shared" ref="M3:M14" si="1">IFERROR(K3-L3,"")</f>
        <v>0</v>
      </c>
      <c r="N3" s="4">
        <v>0.58333333333333304</v>
      </c>
      <c r="O3" s="5">
        <v>0.91666666666666696</v>
      </c>
      <c r="P3" s="14">
        <f>O3-N3</f>
        <v>0.33333333333333393</v>
      </c>
      <c r="Q3" s="15">
        <f>IFERROR(VLOOKUP(P3,Sayfa1!C:D,2,TRUE),"")</f>
        <v>4.1666666666666664E-2</v>
      </c>
      <c r="R3" s="16">
        <f t="shared" ref="R3:R14" si="2">IFERROR(P3-Q3,"")</f>
        <v>0.29166666666666724</v>
      </c>
      <c r="S3" s="4">
        <v>0.58333333333333304</v>
      </c>
      <c r="T3" s="5">
        <v>0.91666666666666696</v>
      </c>
      <c r="U3" s="14">
        <f>T3-S3</f>
        <v>0.33333333333333393</v>
      </c>
      <c r="V3" s="15">
        <f>IFERROR(VLOOKUP(U3,Sayfa1!C:D,2,TRUE),"")</f>
        <v>4.1666666666666664E-2</v>
      </c>
      <c r="W3" s="16">
        <f t="shared" ref="W3:W14" si="3">IFERROR(U3-V3,"")</f>
        <v>0.29166666666666724</v>
      </c>
      <c r="X3" s="4">
        <v>0.39583333333333298</v>
      </c>
      <c r="Y3" s="5">
        <v>0.91666666666666696</v>
      </c>
      <c r="Z3" s="14">
        <f>Y3-X3</f>
        <v>0.52083333333333393</v>
      </c>
      <c r="AA3" s="15">
        <f>IFERROR(VLOOKUP(Z3,Sayfa1!C:D,2,TRUE),"")</f>
        <v>8.3333333333333329E-2</v>
      </c>
      <c r="AB3" s="16">
        <f t="shared" ref="AB3:AB14" si="4">IFERROR(Z3-AA3,"")</f>
        <v>0.43750000000000061</v>
      </c>
      <c r="AC3" s="4">
        <v>0.39583333333333298</v>
      </c>
      <c r="AD3" s="5">
        <v>0.91666666666666696</v>
      </c>
      <c r="AE3" s="14">
        <f>AD3-AC3</f>
        <v>0.52083333333333393</v>
      </c>
      <c r="AF3" s="15">
        <f>IFERROR(VLOOKUP(AE3,Sayfa1!C:D,2,TRUE),"")</f>
        <v>8.3333333333333329E-2</v>
      </c>
      <c r="AG3" s="16">
        <f t="shared" ref="AG3:AG14" si="5">IFERROR(AE3-AF3,"")</f>
        <v>0.43750000000000061</v>
      </c>
      <c r="AH3" s="4">
        <v>0.39583333333333298</v>
      </c>
      <c r="AI3" s="5">
        <v>0.91666666666666696</v>
      </c>
      <c r="AJ3" s="14">
        <f>AI3-AH3</f>
        <v>0.52083333333333393</v>
      </c>
      <c r="AK3" s="15">
        <f>IFERROR(VLOOKUP(AJ3,Sayfa1!C:D,2,TRUE),"")</f>
        <v>8.3333333333333329E-2</v>
      </c>
      <c r="AL3" s="16">
        <f>IFERROR(AJ3-AK3,"")</f>
        <v>0.43750000000000061</v>
      </c>
      <c r="AM3" s="17">
        <f>IFERROR(H3+M3+R3+W3+AB3+AG3+AL3,"")</f>
        <v>2.1875000000000036</v>
      </c>
      <c r="AN3" s="18">
        <f>IFERROR(AM3-(Sayfa1!$I$1/24),"")</f>
        <v>0.31250000000000355</v>
      </c>
      <c r="AO3" s="29"/>
    </row>
    <row r="4" spans="1:41" ht="48" customHeight="1" thickBot="1" x14ac:dyDescent="0.35">
      <c r="A4" s="22">
        <v>2</v>
      </c>
      <c r="B4" s="1" t="s">
        <v>33</v>
      </c>
      <c r="C4" s="2" t="s">
        <v>31</v>
      </c>
      <c r="D4" s="4">
        <v>0.58333333333333304</v>
      </c>
      <c r="E4" s="5">
        <v>0.91666666666666696</v>
      </c>
      <c r="F4" s="14">
        <f t="shared" ref="F4:F14" si="6">E4-D4</f>
        <v>0.33333333333333393</v>
      </c>
      <c r="G4" s="15">
        <f>IFERROR(VLOOKUP(F4,Sayfa1!C:D,2,TRUE),"")</f>
        <v>4.1666666666666664E-2</v>
      </c>
      <c r="H4" s="16">
        <f t="shared" si="0"/>
        <v>0.29166666666666724</v>
      </c>
      <c r="I4" s="4">
        <v>0.39583333333333298</v>
      </c>
      <c r="J4" s="5">
        <v>0.91666666666666696</v>
      </c>
      <c r="K4" s="14">
        <f t="shared" ref="K4:K14" si="7">J4-I4</f>
        <v>0.52083333333333393</v>
      </c>
      <c r="L4" s="15">
        <f>IFERROR(VLOOKUP(K4,Sayfa1!C:D,2,TRUE),"")</f>
        <v>8.3333333333333329E-2</v>
      </c>
      <c r="M4" s="16">
        <f t="shared" si="1"/>
        <v>0.43750000000000061</v>
      </c>
      <c r="N4" s="4">
        <v>0.39583333333333298</v>
      </c>
      <c r="O4" s="5">
        <v>0.72916666666666696</v>
      </c>
      <c r="P4" s="14">
        <f t="shared" ref="P4:P14" si="8">O4-N4</f>
        <v>0.33333333333333398</v>
      </c>
      <c r="Q4" s="15">
        <f>IFERROR(VLOOKUP(P4,Sayfa1!C:D,2,TRUE),"")</f>
        <v>4.1666666666666664E-2</v>
      </c>
      <c r="R4" s="16">
        <f t="shared" si="2"/>
        <v>0.2916666666666673</v>
      </c>
      <c r="S4" s="4">
        <v>0</v>
      </c>
      <c r="T4" s="5">
        <v>0</v>
      </c>
      <c r="U4" s="14">
        <f t="shared" ref="U4:U14" si="9">T4-S4</f>
        <v>0</v>
      </c>
      <c r="V4" s="15">
        <f>IFERROR(VLOOKUP(U4,Sayfa1!C:D,2,TRUE),"")</f>
        <v>0</v>
      </c>
      <c r="W4" s="16">
        <f t="shared" si="3"/>
        <v>0</v>
      </c>
      <c r="X4" s="4">
        <v>0.58333333333333304</v>
      </c>
      <c r="Y4" s="5">
        <v>0.91666666666666696</v>
      </c>
      <c r="Z4" s="14">
        <f t="shared" ref="Z4:Z14" si="10">Y4-X4</f>
        <v>0.33333333333333393</v>
      </c>
      <c r="AA4" s="15">
        <f>IFERROR(VLOOKUP(Z4,Sayfa1!C:D,2,TRUE),"")</f>
        <v>4.1666666666666664E-2</v>
      </c>
      <c r="AB4" s="16">
        <f t="shared" si="4"/>
        <v>0.29166666666666724</v>
      </c>
      <c r="AC4" s="4">
        <v>0.39583333333333298</v>
      </c>
      <c r="AD4" s="5">
        <v>0.91666666666666696</v>
      </c>
      <c r="AE4" s="14">
        <f t="shared" ref="AE4:AE14" si="11">AD4-AC4</f>
        <v>0.52083333333333393</v>
      </c>
      <c r="AF4" s="15">
        <f>IFERROR(VLOOKUP(AE4,Sayfa1!C:D,2,TRUE),"")</f>
        <v>8.3333333333333329E-2</v>
      </c>
      <c r="AG4" s="16">
        <f t="shared" si="5"/>
        <v>0.43750000000000061</v>
      </c>
      <c r="AH4" s="4">
        <v>0.39583333333333298</v>
      </c>
      <c r="AI4" s="5">
        <v>0.91666666666666696</v>
      </c>
      <c r="AJ4" s="14">
        <f t="shared" ref="AJ4:AJ14" si="12">AI4-AH4</f>
        <v>0.52083333333333393</v>
      </c>
      <c r="AK4" s="15">
        <f>IFERROR(VLOOKUP(AJ4,Sayfa1!C:D,2,TRUE),"")</f>
        <v>8.3333333333333329E-2</v>
      </c>
      <c r="AL4" s="16">
        <f t="shared" ref="AL4:AL14" si="13">IFERROR(AJ4-AK4,"")</f>
        <v>0.43750000000000061</v>
      </c>
      <c r="AM4" s="17">
        <f t="shared" ref="AM4:AM14" si="14">IFERROR(H4+M4+R4+W4+AB4+AG4+AL4,"")</f>
        <v>2.1875000000000036</v>
      </c>
      <c r="AN4" s="18">
        <f>IFERROR(AM4-(Sayfa1!$I$1/24),"")</f>
        <v>0.31250000000000355</v>
      </c>
      <c r="AO4" s="29"/>
    </row>
    <row r="5" spans="1:41" ht="48" customHeight="1" thickBot="1" x14ac:dyDescent="0.35">
      <c r="A5" s="22">
        <v>3</v>
      </c>
      <c r="B5" s="1" t="s">
        <v>34</v>
      </c>
      <c r="C5" s="2" t="s">
        <v>13</v>
      </c>
      <c r="D5" s="4">
        <v>0.60416666666666696</v>
      </c>
      <c r="E5" s="5">
        <v>0.91666666666666696</v>
      </c>
      <c r="F5" s="14">
        <f t="shared" si="6"/>
        <v>0.3125</v>
      </c>
      <c r="G5" s="15">
        <f>IFERROR(VLOOKUP(F5,Sayfa1!C:D,2,TRUE),"")</f>
        <v>4.1666666666666664E-2</v>
      </c>
      <c r="H5" s="16">
        <f t="shared" si="0"/>
        <v>0.27083333333333331</v>
      </c>
      <c r="I5" s="4">
        <v>0.39583333333333298</v>
      </c>
      <c r="J5" s="5">
        <v>0.91666666666666696</v>
      </c>
      <c r="K5" s="14">
        <f t="shared" si="7"/>
        <v>0.52083333333333393</v>
      </c>
      <c r="L5" s="15">
        <f>IFERROR(VLOOKUP(K5,Sayfa1!C:D,2,TRUE),"")</f>
        <v>8.3333333333333329E-2</v>
      </c>
      <c r="M5" s="16">
        <f t="shared" si="1"/>
        <v>0.43750000000000061</v>
      </c>
      <c r="N5" s="4">
        <v>0.39583333333333298</v>
      </c>
      <c r="O5" s="5">
        <v>0.72916666666666696</v>
      </c>
      <c r="P5" s="14">
        <f t="shared" si="8"/>
        <v>0.33333333333333398</v>
      </c>
      <c r="Q5" s="15">
        <f>IFERROR(VLOOKUP(P5,Sayfa1!C:D,2,TRUE),"")</f>
        <v>4.1666666666666664E-2</v>
      </c>
      <c r="R5" s="16">
        <f t="shared" si="2"/>
        <v>0.2916666666666673</v>
      </c>
      <c r="S5" s="4">
        <v>0</v>
      </c>
      <c r="T5" s="5">
        <v>0</v>
      </c>
      <c r="U5" s="14">
        <f t="shared" si="9"/>
        <v>0</v>
      </c>
      <c r="V5" s="15">
        <f>IFERROR(VLOOKUP(U5,Sayfa1!C:D,2,TRUE),"")</f>
        <v>0</v>
      </c>
      <c r="W5" s="16">
        <f t="shared" si="3"/>
        <v>0</v>
      </c>
      <c r="X5" s="4">
        <v>0.58333333333333304</v>
      </c>
      <c r="Y5" s="5">
        <v>0.91666666666666696</v>
      </c>
      <c r="Z5" s="14">
        <f t="shared" si="10"/>
        <v>0.33333333333333393</v>
      </c>
      <c r="AA5" s="15">
        <f>IFERROR(VLOOKUP(Z5,Sayfa1!C:D,2,TRUE),"")</f>
        <v>4.1666666666666664E-2</v>
      </c>
      <c r="AB5" s="16">
        <f t="shared" si="4"/>
        <v>0.29166666666666724</v>
      </c>
      <c r="AC5" s="4">
        <v>0.58333333333333304</v>
      </c>
      <c r="AD5" s="5">
        <v>0.91666666666666696</v>
      </c>
      <c r="AE5" s="14">
        <f t="shared" si="11"/>
        <v>0.33333333333333393</v>
      </c>
      <c r="AF5" s="15">
        <f>IFERROR(VLOOKUP(AE5,Sayfa1!C:D,2,TRUE),"")</f>
        <v>4.1666666666666664E-2</v>
      </c>
      <c r="AG5" s="16">
        <f t="shared" si="5"/>
        <v>0.29166666666666724</v>
      </c>
      <c r="AH5" s="4">
        <v>0.39583333333333298</v>
      </c>
      <c r="AI5" s="5">
        <v>0.85416666666666696</v>
      </c>
      <c r="AJ5" s="14">
        <f t="shared" si="12"/>
        <v>0.45833333333333398</v>
      </c>
      <c r="AK5" s="15">
        <f>IFERROR(VLOOKUP(AJ5,Sayfa1!C:D,2,TRUE),"")</f>
        <v>6.25E-2</v>
      </c>
      <c r="AL5" s="16">
        <f t="shared" si="13"/>
        <v>0.39583333333333398</v>
      </c>
      <c r="AM5" s="17">
        <f t="shared" si="14"/>
        <v>1.9791666666666696</v>
      </c>
      <c r="AN5" s="18">
        <f>IFERROR(AM5-(Sayfa1!$I$1/24),"")</f>
        <v>0.10416666666666963</v>
      </c>
      <c r="AO5" s="29"/>
    </row>
    <row r="6" spans="1:41" ht="48" customHeight="1" thickBot="1" x14ac:dyDescent="0.35">
      <c r="A6" s="22">
        <v>4</v>
      </c>
      <c r="B6" s="1" t="s">
        <v>35</v>
      </c>
      <c r="C6" s="2" t="s">
        <v>13</v>
      </c>
      <c r="D6" s="4">
        <v>0.39583333333333298</v>
      </c>
      <c r="E6" s="5">
        <v>0.72916666666666696</v>
      </c>
      <c r="F6" s="14">
        <f t="shared" si="6"/>
        <v>0.33333333333333398</v>
      </c>
      <c r="G6" s="15">
        <f>IFERROR(VLOOKUP(F6,Sayfa1!C:D,2,TRUE),"")</f>
        <v>4.1666666666666664E-2</v>
      </c>
      <c r="H6" s="16">
        <f t="shared" si="0"/>
        <v>0.2916666666666673</v>
      </c>
      <c r="I6" s="4">
        <v>0</v>
      </c>
      <c r="J6" s="5">
        <v>0</v>
      </c>
      <c r="K6" s="14">
        <f t="shared" si="7"/>
        <v>0</v>
      </c>
      <c r="L6" s="15">
        <f>IFERROR(VLOOKUP(K6,Sayfa1!C:D,2,TRUE),"")</f>
        <v>0</v>
      </c>
      <c r="M6" s="16">
        <f t="shared" si="1"/>
        <v>0</v>
      </c>
      <c r="N6" s="4">
        <v>0.60416666666666696</v>
      </c>
      <c r="O6" s="5">
        <v>0.91666666666666696</v>
      </c>
      <c r="P6" s="14">
        <f t="shared" si="8"/>
        <v>0.3125</v>
      </c>
      <c r="Q6" s="15">
        <f>IFERROR(VLOOKUP(P6,Sayfa1!C:D,2,TRUE),"")</f>
        <v>4.1666666666666664E-2</v>
      </c>
      <c r="R6" s="16">
        <f t="shared" si="2"/>
        <v>0.27083333333333331</v>
      </c>
      <c r="S6" s="4">
        <v>0.39583333333333298</v>
      </c>
      <c r="T6" s="5">
        <v>0.91666666666666696</v>
      </c>
      <c r="U6" s="14">
        <f t="shared" si="9"/>
        <v>0.52083333333333393</v>
      </c>
      <c r="V6" s="15">
        <f>IFERROR(VLOOKUP(U6,Sayfa1!C:D,2,TRUE),"")</f>
        <v>8.3333333333333329E-2</v>
      </c>
      <c r="W6" s="16">
        <f t="shared" si="3"/>
        <v>0.43750000000000061</v>
      </c>
      <c r="X6" s="4">
        <v>0.39583333333333298</v>
      </c>
      <c r="Y6" s="5">
        <v>0.72916666666666696</v>
      </c>
      <c r="Z6" s="14">
        <f t="shared" si="10"/>
        <v>0.33333333333333398</v>
      </c>
      <c r="AA6" s="15">
        <f>IFERROR(VLOOKUP(Z6,Sayfa1!C:D,2,TRUE),"")</f>
        <v>4.1666666666666664E-2</v>
      </c>
      <c r="AB6" s="16">
        <f t="shared" si="4"/>
        <v>0.2916666666666673</v>
      </c>
      <c r="AC6" s="4">
        <v>0.58333333333333304</v>
      </c>
      <c r="AD6" s="5">
        <v>0.91666666666666696</v>
      </c>
      <c r="AE6" s="14">
        <f t="shared" si="11"/>
        <v>0.33333333333333393</v>
      </c>
      <c r="AF6" s="15">
        <f>IFERROR(VLOOKUP(AE6,Sayfa1!C:D,2,TRUE),"")</f>
        <v>4.1666666666666664E-2</v>
      </c>
      <c r="AG6" s="16">
        <f t="shared" si="5"/>
        <v>0.29166666666666724</v>
      </c>
      <c r="AH6" s="4">
        <v>0.41666666666666702</v>
      </c>
      <c r="AI6" s="5">
        <v>0.91666666666666696</v>
      </c>
      <c r="AJ6" s="14">
        <f t="shared" si="12"/>
        <v>0.49999999999999994</v>
      </c>
      <c r="AK6" s="15">
        <f>IFERROR(VLOOKUP(AJ6,Sayfa1!C:D,2,TRUE),"")</f>
        <v>8.3333333333333329E-2</v>
      </c>
      <c r="AL6" s="16">
        <f t="shared" si="13"/>
        <v>0.41666666666666663</v>
      </c>
      <c r="AM6" s="17">
        <f t="shared" si="14"/>
        <v>2.0000000000000027</v>
      </c>
      <c r="AN6" s="18">
        <f>IFERROR(AM6-(Sayfa1!$I$1/24),"")</f>
        <v>0.12500000000000266</v>
      </c>
      <c r="AO6" s="29"/>
    </row>
    <row r="7" spans="1:41" ht="48" customHeight="1" thickBot="1" x14ac:dyDescent="0.35">
      <c r="A7" s="22">
        <v>5</v>
      </c>
      <c r="B7" s="1" t="s">
        <v>36</v>
      </c>
      <c r="C7" s="2" t="s">
        <v>13</v>
      </c>
      <c r="D7" s="4">
        <v>0.58333333333333304</v>
      </c>
      <c r="E7" s="5">
        <v>0.91666666666666696</v>
      </c>
      <c r="F7" s="14">
        <f t="shared" si="6"/>
        <v>0.33333333333333393</v>
      </c>
      <c r="G7" s="15">
        <f>IFERROR(VLOOKUP(F7,Sayfa1!C:D,2,TRUE),"")</f>
        <v>4.1666666666666664E-2</v>
      </c>
      <c r="H7" s="16">
        <f t="shared" si="0"/>
        <v>0.29166666666666724</v>
      </c>
      <c r="I7" s="4">
        <v>0.39583333333333298</v>
      </c>
      <c r="J7" s="5">
        <v>0.75</v>
      </c>
      <c r="K7" s="14">
        <f t="shared" si="7"/>
        <v>0.35416666666666702</v>
      </c>
      <c r="L7" s="15">
        <f>IFERROR(VLOOKUP(K7,Sayfa1!C:D,2,TRUE),"")</f>
        <v>6.25E-2</v>
      </c>
      <c r="M7" s="16">
        <f t="shared" si="1"/>
        <v>0.29166666666666702</v>
      </c>
      <c r="N7" s="4">
        <v>0</v>
      </c>
      <c r="O7" s="5">
        <v>0</v>
      </c>
      <c r="P7" s="14">
        <f t="shared" si="8"/>
        <v>0</v>
      </c>
      <c r="Q7" s="15">
        <f>IFERROR(VLOOKUP(P7,Sayfa1!C:D,2,TRUE),"")</f>
        <v>0</v>
      </c>
      <c r="R7" s="16">
        <f t="shared" si="2"/>
        <v>0</v>
      </c>
      <c r="S7" s="4">
        <v>0.58333333333333304</v>
      </c>
      <c r="T7" s="5">
        <v>0.91666666666666696</v>
      </c>
      <c r="U7" s="14">
        <f t="shared" si="9"/>
        <v>0.33333333333333393</v>
      </c>
      <c r="V7" s="15">
        <f>IFERROR(VLOOKUP(U7,Sayfa1!C:D,2,TRUE),"")</f>
        <v>4.1666666666666664E-2</v>
      </c>
      <c r="W7" s="16">
        <f t="shared" si="3"/>
        <v>0.29166666666666724</v>
      </c>
      <c r="X7" s="4">
        <v>0.39583333333333298</v>
      </c>
      <c r="Y7" s="5">
        <v>0.91666666666666696</v>
      </c>
      <c r="Z7" s="14">
        <f t="shared" si="10"/>
        <v>0.52083333333333393</v>
      </c>
      <c r="AA7" s="15">
        <f>IFERROR(VLOOKUP(Z7,Sayfa1!C:D,2,TRUE),"")</f>
        <v>8.3333333333333329E-2</v>
      </c>
      <c r="AB7" s="16">
        <f t="shared" si="4"/>
        <v>0.43750000000000061</v>
      </c>
      <c r="AC7" s="4">
        <v>0.39583333333333298</v>
      </c>
      <c r="AD7" s="5">
        <v>0.66666666666666696</v>
      </c>
      <c r="AE7" s="14">
        <f t="shared" si="11"/>
        <v>0.27083333333333398</v>
      </c>
      <c r="AF7" s="15">
        <f>IFERROR(VLOOKUP(AE7,Sayfa1!C:D,2,TRUE),"")</f>
        <v>4.1666666666666664E-2</v>
      </c>
      <c r="AG7" s="16">
        <f t="shared" si="5"/>
        <v>0.22916666666666732</v>
      </c>
      <c r="AH7" s="4">
        <v>0.66666666666666696</v>
      </c>
      <c r="AI7" s="5">
        <v>0.91666666666666696</v>
      </c>
      <c r="AJ7" s="14">
        <f t="shared" si="12"/>
        <v>0.25</v>
      </c>
      <c r="AK7" s="15">
        <f>IFERROR(VLOOKUP(AJ7,Sayfa1!C:D,2,TRUE),"")</f>
        <v>4.1666666666666664E-2</v>
      </c>
      <c r="AL7" s="16">
        <f t="shared" si="13"/>
        <v>0.20833333333333334</v>
      </c>
      <c r="AM7" s="17">
        <f t="shared" si="14"/>
        <v>1.7500000000000029</v>
      </c>
      <c r="AN7" s="18">
        <f>IFERROR(AM7-(Sayfa1!$I$1/24),"")</f>
        <v>-0.12499999999999711</v>
      </c>
      <c r="AO7" s="29"/>
    </row>
    <row r="8" spans="1:41" ht="48" customHeight="1" thickBot="1" x14ac:dyDescent="0.35">
      <c r="A8" s="22">
        <v>6</v>
      </c>
      <c r="B8" s="1" t="s">
        <v>37</v>
      </c>
      <c r="C8" s="2" t="s">
        <v>13</v>
      </c>
      <c r="D8" s="4"/>
      <c r="E8" s="5"/>
      <c r="F8" s="14">
        <f t="shared" si="6"/>
        <v>0</v>
      </c>
      <c r="G8" s="15">
        <f>IFERROR(VLOOKUP(F8,Sayfa1!C:D,2,TRUE),"")</f>
        <v>0</v>
      </c>
      <c r="H8" s="16">
        <f t="shared" si="0"/>
        <v>0</v>
      </c>
      <c r="I8" s="4"/>
      <c r="J8" s="5"/>
      <c r="K8" s="14">
        <f t="shared" si="7"/>
        <v>0</v>
      </c>
      <c r="L8" s="15">
        <f>IFERROR(VLOOKUP(K8,Sayfa1!C:D,2,TRUE),"")</f>
        <v>0</v>
      </c>
      <c r="M8" s="16">
        <f t="shared" si="1"/>
        <v>0</v>
      </c>
      <c r="N8" s="4"/>
      <c r="O8" s="5"/>
      <c r="P8" s="14">
        <f t="shared" si="8"/>
        <v>0</v>
      </c>
      <c r="Q8" s="15">
        <f>IFERROR(VLOOKUP(P8,Sayfa1!C:D,2,TRUE),"")</f>
        <v>0</v>
      </c>
      <c r="R8" s="16">
        <f t="shared" si="2"/>
        <v>0</v>
      </c>
      <c r="S8" s="4"/>
      <c r="T8" s="5"/>
      <c r="U8" s="14">
        <f t="shared" si="9"/>
        <v>0</v>
      </c>
      <c r="V8" s="15">
        <f>IFERROR(VLOOKUP(U8,Sayfa1!C:D,2,TRUE),"")</f>
        <v>0</v>
      </c>
      <c r="W8" s="16">
        <f t="shared" si="3"/>
        <v>0</v>
      </c>
      <c r="X8" s="4"/>
      <c r="Y8" s="5"/>
      <c r="Z8" s="14">
        <f t="shared" si="10"/>
        <v>0</v>
      </c>
      <c r="AA8" s="15">
        <f>IFERROR(VLOOKUP(Z8,Sayfa1!C:D,2,TRUE),"")</f>
        <v>0</v>
      </c>
      <c r="AB8" s="16">
        <f t="shared" si="4"/>
        <v>0</v>
      </c>
      <c r="AC8" s="4"/>
      <c r="AD8" s="5"/>
      <c r="AE8" s="14">
        <f t="shared" si="11"/>
        <v>0</v>
      </c>
      <c r="AF8" s="15">
        <f>IFERROR(VLOOKUP(AE8,Sayfa1!C:D,2,TRUE),"")</f>
        <v>0</v>
      </c>
      <c r="AG8" s="16">
        <f t="shared" si="5"/>
        <v>0</v>
      </c>
      <c r="AH8" s="4"/>
      <c r="AI8" s="5"/>
      <c r="AJ8" s="14">
        <f t="shared" si="12"/>
        <v>0</v>
      </c>
      <c r="AK8" s="15">
        <f>IFERROR(VLOOKUP(AJ8,Sayfa1!C:D,2,TRUE),"")</f>
        <v>0</v>
      </c>
      <c r="AL8" s="16">
        <f t="shared" si="13"/>
        <v>0</v>
      </c>
      <c r="AM8" s="17">
        <f t="shared" si="14"/>
        <v>0</v>
      </c>
      <c r="AN8" s="18">
        <f>IFERROR(AM8-(Sayfa1!$I$1/24),"")</f>
        <v>-1.875</v>
      </c>
      <c r="AO8" s="29"/>
    </row>
    <row r="9" spans="1:41" ht="48" customHeight="1" thickBot="1" x14ac:dyDescent="0.35">
      <c r="A9" s="22">
        <v>7</v>
      </c>
      <c r="B9" s="1" t="s">
        <v>38</v>
      </c>
      <c r="C9" s="2" t="s">
        <v>13</v>
      </c>
      <c r="D9" s="4">
        <v>0.39583333333333298</v>
      </c>
      <c r="E9" s="5">
        <v>0.72916666666666696</v>
      </c>
      <c r="F9" s="14">
        <f t="shared" si="6"/>
        <v>0.33333333333333398</v>
      </c>
      <c r="G9" s="15">
        <f>IFERROR(VLOOKUP(F9,Sayfa1!C:D,2,TRUE),"")</f>
        <v>4.1666666666666664E-2</v>
      </c>
      <c r="H9" s="16">
        <f t="shared" si="0"/>
        <v>0.2916666666666673</v>
      </c>
      <c r="I9" s="4">
        <v>0.58333333333333304</v>
      </c>
      <c r="J9" s="5">
        <v>0.91666666666666696</v>
      </c>
      <c r="K9" s="14">
        <f t="shared" si="7"/>
        <v>0.33333333333333393</v>
      </c>
      <c r="L9" s="15">
        <f>IFERROR(VLOOKUP(K9,Sayfa1!C:D,2,TRUE),"")</f>
        <v>4.1666666666666664E-2</v>
      </c>
      <c r="M9" s="16">
        <f t="shared" si="1"/>
        <v>0.29166666666666724</v>
      </c>
      <c r="N9" s="4">
        <v>0.58333333333333304</v>
      </c>
      <c r="O9" s="5">
        <v>0.91666666666666696</v>
      </c>
      <c r="P9" s="14">
        <f t="shared" si="8"/>
        <v>0.33333333333333393</v>
      </c>
      <c r="Q9" s="15">
        <f>IFERROR(VLOOKUP(P9,Sayfa1!C:D,2,TRUE),"")</f>
        <v>4.1666666666666664E-2</v>
      </c>
      <c r="R9" s="16">
        <f t="shared" si="2"/>
        <v>0.29166666666666724</v>
      </c>
      <c r="S9" s="4">
        <v>0.39583333333333298</v>
      </c>
      <c r="T9" s="5">
        <v>0.72916666666666696</v>
      </c>
      <c r="U9" s="14">
        <f t="shared" si="9"/>
        <v>0.33333333333333398</v>
      </c>
      <c r="V9" s="15">
        <f>IFERROR(VLOOKUP(U9,Sayfa1!C:D,2,TRUE),"")</f>
        <v>4.1666666666666664E-2</v>
      </c>
      <c r="W9" s="16">
        <f t="shared" si="3"/>
        <v>0.2916666666666673</v>
      </c>
      <c r="X9" s="4">
        <v>0</v>
      </c>
      <c r="Y9" s="5">
        <v>0</v>
      </c>
      <c r="Z9" s="14">
        <f t="shared" si="10"/>
        <v>0</v>
      </c>
      <c r="AA9" s="15">
        <f>IFERROR(VLOOKUP(Z9,Sayfa1!C:D,2,TRUE),"")</f>
        <v>0</v>
      </c>
      <c r="AB9" s="16">
        <f t="shared" si="4"/>
        <v>0</v>
      </c>
      <c r="AC9" s="4">
        <v>0.58333333333333304</v>
      </c>
      <c r="AD9" s="5">
        <v>0.91666666666666696</v>
      </c>
      <c r="AE9" s="14">
        <f t="shared" si="11"/>
        <v>0.33333333333333393</v>
      </c>
      <c r="AF9" s="15">
        <f>IFERROR(VLOOKUP(AE9,Sayfa1!C:D,2,TRUE),"")</f>
        <v>4.1666666666666664E-2</v>
      </c>
      <c r="AG9" s="16">
        <f t="shared" si="5"/>
        <v>0.29166666666666724</v>
      </c>
      <c r="AH9" s="4">
        <v>0.625</v>
      </c>
      <c r="AI9" s="5">
        <v>0.91666666666666696</v>
      </c>
      <c r="AJ9" s="14">
        <f t="shared" si="12"/>
        <v>0.29166666666666696</v>
      </c>
      <c r="AK9" s="15">
        <f>IFERROR(VLOOKUP(AJ9,Sayfa1!C:D,2,TRUE),"")</f>
        <v>4.1666666666666664E-2</v>
      </c>
      <c r="AL9" s="16">
        <f t="shared" si="13"/>
        <v>0.25000000000000028</v>
      </c>
      <c r="AM9" s="17">
        <f t="shared" si="14"/>
        <v>1.7083333333333366</v>
      </c>
      <c r="AN9" s="18">
        <f>IFERROR(AM9-(Sayfa1!$I$1/24),"")</f>
        <v>-0.16666666666666341</v>
      </c>
      <c r="AO9" s="29"/>
    </row>
    <row r="10" spans="1:41" ht="48" customHeight="1" thickBot="1" x14ac:dyDescent="0.35">
      <c r="A10" s="22">
        <v>8</v>
      </c>
      <c r="B10" s="1" t="s">
        <v>39</v>
      </c>
      <c r="C10" s="2" t="s">
        <v>13</v>
      </c>
      <c r="D10" s="4">
        <v>0.58333333333333304</v>
      </c>
      <c r="E10" s="5">
        <v>0.91666666666666696</v>
      </c>
      <c r="F10" s="14">
        <f t="shared" si="6"/>
        <v>0.33333333333333393</v>
      </c>
      <c r="G10" s="15">
        <f>IFERROR(VLOOKUP(F10,Sayfa1!C:D,2,TRUE),"")</f>
        <v>4.1666666666666664E-2</v>
      </c>
      <c r="H10" s="16">
        <f t="shared" si="0"/>
        <v>0.29166666666666724</v>
      </c>
      <c r="I10" s="4">
        <v>0.58333333333333304</v>
      </c>
      <c r="J10" s="5">
        <v>0.91666666666666696</v>
      </c>
      <c r="K10" s="14">
        <f t="shared" si="7"/>
        <v>0.33333333333333393</v>
      </c>
      <c r="L10" s="15">
        <f>IFERROR(VLOOKUP(K10,Sayfa1!C:D,2,TRUE),"")</f>
        <v>4.1666666666666664E-2</v>
      </c>
      <c r="M10" s="16">
        <f t="shared" si="1"/>
        <v>0.29166666666666724</v>
      </c>
      <c r="N10" s="4">
        <v>0.39583333333333298</v>
      </c>
      <c r="O10" s="5">
        <v>0.91666666666666696</v>
      </c>
      <c r="P10" s="14">
        <f t="shared" si="8"/>
        <v>0.52083333333333393</v>
      </c>
      <c r="Q10" s="15">
        <f>IFERROR(VLOOKUP(P10,Sayfa1!C:D,2,TRUE),"")</f>
        <v>8.3333333333333329E-2</v>
      </c>
      <c r="R10" s="16">
        <f t="shared" si="2"/>
        <v>0.43750000000000061</v>
      </c>
      <c r="S10" s="4">
        <v>0.39583333333333298</v>
      </c>
      <c r="T10" s="5">
        <v>0.72916666666666696</v>
      </c>
      <c r="U10" s="14">
        <f t="shared" si="9"/>
        <v>0.33333333333333398</v>
      </c>
      <c r="V10" s="15">
        <f>IFERROR(VLOOKUP(U10,Sayfa1!C:D,2,TRUE),"")</f>
        <v>4.1666666666666664E-2</v>
      </c>
      <c r="W10" s="16">
        <f t="shared" si="3"/>
        <v>0.2916666666666673</v>
      </c>
      <c r="X10" s="4">
        <v>0</v>
      </c>
      <c r="Y10" s="5">
        <v>0</v>
      </c>
      <c r="Z10" s="14">
        <f t="shared" si="10"/>
        <v>0</v>
      </c>
      <c r="AA10" s="15">
        <f>IFERROR(VLOOKUP(Z10,Sayfa1!C:D,2,TRUE),"")</f>
        <v>0</v>
      </c>
      <c r="AB10" s="16">
        <f t="shared" si="4"/>
        <v>0</v>
      </c>
      <c r="AC10" s="4">
        <v>0.39583333333333298</v>
      </c>
      <c r="AD10" s="5">
        <v>0.70833333333333304</v>
      </c>
      <c r="AE10" s="14">
        <f t="shared" si="11"/>
        <v>0.31250000000000006</v>
      </c>
      <c r="AF10" s="15">
        <f>IFERROR(VLOOKUP(AE10,Sayfa1!C:D,2,TRUE),"")</f>
        <v>4.1666666666666664E-2</v>
      </c>
      <c r="AG10" s="16">
        <f t="shared" si="5"/>
        <v>0.27083333333333337</v>
      </c>
      <c r="AH10" s="4">
        <v>0.58333333333333304</v>
      </c>
      <c r="AI10" s="5">
        <v>0.91666666666666696</v>
      </c>
      <c r="AJ10" s="14">
        <f t="shared" si="12"/>
        <v>0.33333333333333393</v>
      </c>
      <c r="AK10" s="15">
        <f>IFERROR(VLOOKUP(AJ10,Sayfa1!C:D,2,TRUE),"")</f>
        <v>4.1666666666666664E-2</v>
      </c>
      <c r="AL10" s="16">
        <f t="shared" si="13"/>
        <v>0.29166666666666724</v>
      </c>
      <c r="AM10" s="17">
        <f t="shared" si="14"/>
        <v>1.8750000000000029</v>
      </c>
      <c r="AN10" s="18">
        <f>IFERROR(AM10-(Sayfa1!$I$1/24),"")</f>
        <v>2.886579864025407E-15</v>
      </c>
      <c r="AO10" s="29"/>
    </row>
    <row r="11" spans="1:41" ht="48" customHeight="1" thickBot="1" x14ac:dyDescent="0.35">
      <c r="A11" s="22">
        <v>9</v>
      </c>
      <c r="B11" s="1"/>
      <c r="C11" s="2" t="s">
        <v>13</v>
      </c>
      <c r="D11" s="4"/>
      <c r="E11" s="5"/>
      <c r="F11" s="14">
        <f t="shared" si="6"/>
        <v>0</v>
      </c>
      <c r="G11" s="15">
        <f>IFERROR(VLOOKUP(F11,Sayfa1!C:D,2,TRUE),"")</f>
        <v>0</v>
      </c>
      <c r="H11" s="16">
        <f t="shared" si="0"/>
        <v>0</v>
      </c>
      <c r="I11" s="4"/>
      <c r="J11" s="5"/>
      <c r="K11" s="14">
        <f t="shared" si="7"/>
        <v>0</v>
      </c>
      <c r="L11" s="15">
        <f>IFERROR(VLOOKUP(K11,Sayfa1!C:D,2,TRUE),"")</f>
        <v>0</v>
      </c>
      <c r="M11" s="16">
        <f t="shared" si="1"/>
        <v>0</v>
      </c>
      <c r="N11" s="4"/>
      <c r="O11" s="5"/>
      <c r="P11" s="14">
        <f t="shared" si="8"/>
        <v>0</v>
      </c>
      <c r="Q11" s="15">
        <f>IFERROR(VLOOKUP(P11,Sayfa1!C:D,2,TRUE),"")</f>
        <v>0</v>
      </c>
      <c r="R11" s="16">
        <f t="shared" si="2"/>
        <v>0</v>
      </c>
      <c r="S11" s="4"/>
      <c r="T11" s="5"/>
      <c r="U11" s="14">
        <f t="shared" si="9"/>
        <v>0</v>
      </c>
      <c r="V11" s="15">
        <f>IFERROR(VLOOKUP(U11,Sayfa1!C:D,2,TRUE),"")</f>
        <v>0</v>
      </c>
      <c r="W11" s="16">
        <f t="shared" si="3"/>
        <v>0</v>
      </c>
      <c r="X11" s="4"/>
      <c r="Y11" s="5"/>
      <c r="Z11" s="14">
        <f t="shared" si="10"/>
        <v>0</v>
      </c>
      <c r="AA11" s="15">
        <f>IFERROR(VLOOKUP(Z11,Sayfa1!C:D,2,TRUE),"")</f>
        <v>0</v>
      </c>
      <c r="AB11" s="16">
        <f t="shared" si="4"/>
        <v>0</v>
      </c>
      <c r="AC11" s="4"/>
      <c r="AD11" s="5"/>
      <c r="AE11" s="14">
        <f t="shared" si="11"/>
        <v>0</v>
      </c>
      <c r="AF11" s="15">
        <f>IFERROR(VLOOKUP(AE11,Sayfa1!C:D,2,TRUE),"")</f>
        <v>0</v>
      </c>
      <c r="AG11" s="16">
        <f t="shared" si="5"/>
        <v>0</v>
      </c>
      <c r="AH11" s="4"/>
      <c r="AI11" s="5"/>
      <c r="AJ11" s="14">
        <f t="shared" si="12"/>
        <v>0</v>
      </c>
      <c r="AK11" s="15">
        <f>IFERROR(VLOOKUP(AJ11,Sayfa1!C:D,2,TRUE),"")</f>
        <v>0</v>
      </c>
      <c r="AL11" s="16">
        <f t="shared" si="13"/>
        <v>0</v>
      </c>
      <c r="AM11" s="17">
        <f t="shared" si="14"/>
        <v>0</v>
      </c>
      <c r="AN11" s="18">
        <f>IFERROR(AM11-(Sayfa1!$I$1/24),"")</f>
        <v>-1.875</v>
      </c>
      <c r="AO11" s="29"/>
    </row>
    <row r="12" spans="1:41" ht="48" customHeight="1" thickBot="1" x14ac:dyDescent="0.35">
      <c r="A12" s="22">
        <v>10</v>
      </c>
      <c r="B12" s="1"/>
      <c r="C12" s="2" t="s">
        <v>13</v>
      </c>
      <c r="D12" s="4"/>
      <c r="E12" s="5"/>
      <c r="F12" s="14">
        <f t="shared" si="6"/>
        <v>0</v>
      </c>
      <c r="G12" s="15">
        <f>IFERROR(VLOOKUP(F12,Sayfa1!C:D,2,TRUE),"")</f>
        <v>0</v>
      </c>
      <c r="H12" s="16">
        <f t="shared" si="0"/>
        <v>0</v>
      </c>
      <c r="I12" s="4"/>
      <c r="J12" s="5"/>
      <c r="K12" s="14">
        <f t="shared" si="7"/>
        <v>0</v>
      </c>
      <c r="L12" s="15">
        <f>IFERROR(VLOOKUP(K12,Sayfa1!C:D,2,TRUE),"")</f>
        <v>0</v>
      </c>
      <c r="M12" s="16">
        <f t="shared" si="1"/>
        <v>0</v>
      </c>
      <c r="N12" s="4"/>
      <c r="O12" s="5"/>
      <c r="P12" s="14">
        <f t="shared" si="8"/>
        <v>0</v>
      </c>
      <c r="Q12" s="15">
        <f>IFERROR(VLOOKUP(P12,Sayfa1!C:D,2,TRUE),"")</f>
        <v>0</v>
      </c>
      <c r="R12" s="16">
        <f t="shared" si="2"/>
        <v>0</v>
      </c>
      <c r="S12" s="4"/>
      <c r="T12" s="5"/>
      <c r="U12" s="14">
        <f t="shared" si="9"/>
        <v>0</v>
      </c>
      <c r="V12" s="15">
        <f>IFERROR(VLOOKUP(U12,Sayfa1!C:D,2,TRUE),"")</f>
        <v>0</v>
      </c>
      <c r="W12" s="16">
        <f t="shared" si="3"/>
        <v>0</v>
      </c>
      <c r="X12" s="4"/>
      <c r="Y12" s="5"/>
      <c r="Z12" s="14">
        <f t="shared" si="10"/>
        <v>0</v>
      </c>
      <c r="AA12" s="15">
        <f>IFERROR(VLOOKUP(Z12,Sayfa1!C:D,2,TRUE),"")</f>
        <v>0</v>
      </c>
      <c r="AB12" s="16">
        <f t="shared" si="4"/>
        <v>0</v>
      </c>
      <c r="AC12" s="4"/>
      <c r="AD12" s="5"/>
      <c r="AE12" s="14">
        <f t="shared" si="11"/>
        <v>0</v>
      </c>
      <c r="AF12" s="15">
        <f>IFERROR(VLOOKUP(AE12,Sayfa1!C:D,2,TRUE),"")</f>
        <v>0</v>
      </c>
      <c r="AG12" s="16">
        <f t="shared" si="5"/>
        <v>0</v>
      </c>
      <c r="AH12" s="4"/>
      <c r="AI12" s="5"/>
      <c r="AJ12" s="14">
        <f t="shared" si="12"/>
        <v>0</v>
      </c>
      <c r="AK12" s="15">
        <f>IFERROR(VLOOKUP(AJ12,Sayfa1!C:D,2,TRUE),"")</f>
        <v>0</v>
      </c>
      <c r="AL12" s="16">
        <f t="shared" si="13"/>
        <v>0</v>
      </c>
      <c r="AM12" s="17">
        <f t="shared" si="14"/>
        <v>0</v>
      </c>
      <c r="AN12" s="18">
        <f>IFERROR(AM12-(Sayfa1!$I$1/24),"")</f>
        <v>-1.875</v>
      </c>
      <c r="AO12" s="29"/>
    </row>
    <row r="13" spans="1:41" ht="48" customHeight="1" thickBot="1" x14ac:dyDescent="0.35">
      <c r="A13" s="22">
        <v>11</v>
      </c>
      <c r="B13" s="1"/>
      <c r="C13" s="2" t="s">
        <v>13</v>
      </c>
      <c r="D13" s="4"/>
      <c r="E13" s="5"/>
      <c r="F13" s="14">
        <f t="shared" si="6"/>
        <v>0</v>
      </c>
      <c r="G13" s="15">
        <f>IFERROR(VLOOKUP(F13,Sayfa1!C:D,2,TRUE),"")</f>
        <v>0</v>
      </c>
      <c r="H13" s="16">
        <f t="shared" si="0"/>
        <v>0</v>
      </c>
      <c r="I13" s="4"/>
      <c r="J13" s="5"/>
      <c r="K13" s="14">
        <f t="shared" si="7"/>
        <v>0</v>
      </c>
      <c r="L13" s="15">
        <f>IFERROR(VLOOKUP(K13,Sayfa1!C:D,2,TRUE),"")</f>
        <v>0</v>
      </c>
      <c r="M13" s="16">
        <f t="shared" si="1"/>
        <v>0</v>
      </c>
      <c r="N13" s="4"/>
      <c r="O13" s="5"/>
      <c r="P13" s="14">
        <f t="shared" si="8"/>
        <v>0</v>
      </c>
      <c r="Q13" s="15">
        <f>IFERROR(VLOOKUP(P13,Sayfa1!C:D,2,TRUE),"")</f>
        <v>0</v>
      </c>
      <c r="R13" s="16">
        <f t="shared" si="2"/>
        <v>0</v>
      </c>
      <c r="S13" s="4"/>
      <c r="T13" s="5"/>
      <c r="U13" s="14">
        <f t="shared" si="9"/>
        <v>0</v>
      </c>
      <c r="V13" s="15">
        <f>IFERROR(VLOOKUP(U13,Sayfa1!C:D,2,TRUE),"")</f>
        <v>0</v>
      </c>
      <c r="W13" s="16">
        <f t="shared" si="3"/>
        <v>0</v>
      </c>
      <c r="X13" s="4"/>
      <c r="Y13" s="5"/>
      <c r="Z13" s="14">
        <f t="shared" si="10"/>
        <v>0</v>
      </c>
      <c r="AA13" s="15">
        <f>IFERROR(VLOOKUP(Z13,Sayfa1!C:D,2,TRUE),"")</f>
        <v>0</v>
      </c>
      <c r="AB13" s="16">
        <f t="shared" si="4"/>
        <v>0</v>
      </c>
      <c r="AC13" s="4"/>
      <c r="AD13" s="5"/>
      <c r="AE13" s="14">
        <f t="shared" si="11"/>
        <v>0</v>
      </c>
      <c r="AF13" s="15">
        <f>IFERROR(VLOOKUP(AE13,Sayfa1!C:D,2,TRUE),"")</f>
        <v>0</v>
      </c>
      <c r="AG13" s="16">
        <f t="shared" si="5"/>
        <v>0</v>
      </c>
      <c r="AH13" s="4"/>
      <c r="AI13" s="5"/>
      <c r="AJ13" s="14">
        <f t="shared" si="12"/>
        <v>0</v>
      </c>
      <c r="AK13" s="15">
        <f>IFERROR(VLOOKUP(AJ13,Sayfa1!C:D,2,TRUE),"")</f>
        <v>0</v>
      </c>
      <c r="AL13" s="16">
        <f t="shared" si="13"/>
        <v>0</v>
      </c>
      <c r="AM13" s="17">
        <f t="shared" si="14"/>
        <v>0</v>
      </c>
      <c r="AN13" s="18">
        <f>IFERROR(AM13-(Sayfa1!$I$1/24),"")</f>
        <v>-1.875</v>
      </c>
      <c r="AO13" s="29"/>
    </row>
    <row r="14" spans="1:41" ht="48" customHeight="1" thickBot="1" x14ac:dyDescent="0.35">
      <c r="A14" s="23">
        <v>12</v>
      </c>
      <c r="B14" s="24"/>
      <c r="C14" s="2" t="s">
        <v>13</v>
      </c>
      <c r="D14" s="4"/>
      <c r="E14" s="5"/>
      <c r="F14" s="14">
        <f t="shared" si="6"/>
        <v>0</v>
      </c>
      <c r="G14" s="15">
        <f>IFERROR(VLOOKUP(F14,Sayfa1!C:D,2,TRUE),"")</f>
        <v>0</v>
      </c>
      <c r="H14" s="16">
        <f t="shared" si="0"/>
        <v>0</v>
      </c>
      <c r="I14" s="4"/>
      <c r="J14" s="5"/>
      <c r="K14" s="14">
        <f t="shared" si="7"/>
        <v>0</v>
      </c>
      <c r="L14" s="15">
        <f>IFERROR(VLOOKUP(K14,Sayfa1!C:D,2,TRUE),"")</f>
        <v>0</v>
      </c>
      <c r="M14" s="16">
        <f t="shared" si="1"/>
        <v>0</v>
      </c>
      <c r="N14" s="4"/>
      <c r="O14" s="5"/>
      <c r="P14" s="14">
        <f t="shared" si="8"/>
        <v>0</v>
      </c>
      <c r="Q14" s="15">
        <f>IFERROR(VLOOKUP(P14,Sayfa1!C:D,2,TRUE),"")</f>
        <v>0</v>
      </c>
      <c r="R14" s="16">
        <f t="shared" si="2"/>
        <v>0</v>
      </c>
      <c r="S14" s="4"/>
      <c r="T14" s="5"/>
      <c r="U14" s="14">
        <f t="shared" si="9"/>
        <v>0</v>
      </c>
      <c r="V14" s="15">
        <f>IFERROR(VLOOKUP(U14,Sayfa1!C:D,2,TRUE),"")</f>
        <v>0</v>
      </c>
      <c r="W14" s="16">
        <f t="shared" si="3"/>
        <v>0</v>
      </c>
      <c r="X14" s="4"/>
      <c r="Y14" s="5"/>
      <c r="Z14" s="14">
        <f t="shared" si="10"/>
        <v>0</v>
      </c>
      <c r="AA14" s="15">
        <f>IFERROR(VLOOKUP(Z14,Sayfa1!C:D,2,TRUE),"")</f>
        <v>0</v>
      </c>
      <c r="AB14" s="16">
        <f t="shared" si="4"/>
        <v>0</v>
      </c>
      <c r="AC14" s="4"/>
      <c r="AD14" s="5"/>
      <c r="AE14" s="14">
        <f t="shared" si="11"/>
        <v>0</v>
      </c>
      <c r="AF14" s="15">
        <f>IFERROR(VLOOKUP(AE14,Sayfa1!C:D,2,TRUE),"")</f>
        <v>0</v>
      </c>
      <c r="AG14" s="16">
        <f t="shared" si="5"/>
        <v>0</v>
      </c>
      <c r="AH14" s="4"/>
      <c r="AI14" s="5"/>
      <c r="AJ14" s="14">
        <f t="shared" si="12"/>
        <v>0</v>
      </c>
      <c r="AK14" s="15">
        <f>IFERROR(VLOOKUP(AJ14,Sayfa1!C:D,2,TRUE),"")</f>
        <v>0</v>
      </c>
      <c r="AL14" s="16">
        <f t="shared" si="13"/>
        <v>0</v>
      </c>
      <c r="AM14" s="17">
        <f t="shared" si="14"/>
        <v>0</v>
      </c>
      <c r="AN14" s="18">
        <f>IFERROR(AM14-(Sayfa1!$I$1/24),"")</f>
        <v>-1.875</v>
      </c>
      <c r="AO14" s="29"/>
    </row>
    <row r="15" spans="1:41" ht="15" thickTop="1" x14ac:dyDescent="0.3"/>
    <row r="19" spans="1:25" ht="15" thickBot="1" x14ac:dyDescent="0.35"/>
    <row r="20" spans="1:25" ht="55.05" customHeight="1" thickTop="1" thickBot="1" x14ac:dyDescent="0.35">
      <c r="A20" s="25" t="s">
        <v>0</v>
      </c>
      <c r="B20" s="28" t="s">
        <v>4</v>
      </c>
      <c r="C20" s="40" t="s">
        <v>18</v>
      </c>
      <c r="D20" s="40"/>
      <c r="E20" s="40" t="s">
        <v>15</v>
      </c>
      <c r="F20" s="40"/>
      <c r="G20" s="40" t="s">
        <v>16</v>
      </c>
      <c r="H20" s="40"/>
      <c r="I20" s="40" t="s">
        <v>17</v>
      </c>
      <c r="J20" s="41"/>
      <c r="L20" s="42" t="s">
        <v>20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4"/>
    </row>
    <row r="21" spans="1:25" ht="48" customHeight="1" thickBot="1" x14ac:dyDescent="0.35">
      <c r="A21" s="22">
        <v>1</v>
      </c>
      <c r="B21" s="26" t="s">
        <v>32</v>
      </c>
      <c r="C21" s="36">
        <v>54.5</v>
      </c>
      <c r="D21" s="36"/>
      <c r="E21" s="36">
        <v>7.5</v>
      </c>
      <c r="F21" s="36"/>
      <c r="G21" s="36"/>
      <c r="H21" s="36"/>
      <c r="I21" s="36">
        <f>SUM(C21:F21)-1</f>
        <v>61</v>
      </c>
      <c r="J21" s="37"/>
      <c r="L21" s="22">
        <v>1</v>
      </c>
      <c r="M21" s="38" t="s">
        <v>21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9"/>
    </row>
    <row r="22" spans="1:25" ht="48" customHeight="1" thickBot="1" x14ac:dyDescent="0.35">
      <c r="A22" s="22">
        <v>2</v>
      </c>
      <c r="B22" s="26" t="s">
        <v>40</v>
      </c>
      <c r="C22" s="36">
        <v>-3.5</v>
      </c>
      <c r="D22" s="36"/>
      <c r="E22" s="36">
        <v>7.5</v>
      </c>
      <c r="F22" s="36"/>
      <c r="G22" s="36"/>
      <c r="H22" s="36"/>
      <c r="I22" s="36">
        <f t="shared" ref="I22:I28" si="15">SUM(C22:F22)</f>
        <v>4</v>
      </c>
      <c r="J22" s="37"/>
      <c r="L22" s="22">
        <v>2</v>
      </c>
      <c r="M22" s="38" t="s">
        <v>22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9"/>
    </row>
    <row r="23" spans="1:25" ht="48" customHeight="1" thickBot="1" x14ac:dyDescent="0.35">
      <c r="A23" s="22">
        <v>3</v>
      </c>
      <c r="B23" s="26" t="s">
        <v>34</v>
      </c>
      <c r="C23" s="36">
        <v>1</v>
      </c>
      <c r="D23" s="36"/>
      <c r="E23" s="36">
        <v>0</v>
      </c>
      <c r="F23" s="36"/>
      <c r="G23" s="36"/>
      <c r="H23" s="36"/>
      <c r="I23" s="36">
        <f t="shared" si="15"/>
        <v>1</v>
      </c>
      <c r="J23" s="37"/>
      <c r="L23" s="22">
        <v>3</v>
      </c>
      <c r="M23" s="38" t="s">
        <v>28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9"/>
    </row>
    <row r="24" spans="1:25" ht="48" customHeight="1" thickBot="1" x14ac:dyDescent="0.35">
      <c r="A24" s="22">
        <v>4</v>
      </c>
      <c r="B24" s="26" t="s">
        <v>35</v>
      </c>
      <c r="C24" s="36">
        <v>11</v>
      </c>
      <c r="D24" s="36"/>
      <c r="E24" s="36">
        <v>0</v>
      </c>
      <c r="F24" s="36"/>
      <c r="G24" s="36"/>
      <c r="H24" s="36"/>
      <c r="I24" s="36">
        <f t="shared" si="15"/>
        <v>11</v>
      </c>
      <c r="J24" s="37"/>
      <c r="L24" s="22">
        <v>4</v>
      </c>
      <c r="M24" s="38" t="s">
        <v>29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9"/>
    </row>
    <row r="25" spans="1:25" ht="48" customHeight="1" thickBot="1" x14ac:dyDescent="0.35">
      <c r="A25" s="22">
        <v>5</v>
      </c>
      <c r="B25" s="26" t="s">
        <v>41</v>
      </c>
      <c r="C25" s="36">
        <v>0</v>
      </c>
      <c r="D25" s="36"/>
      <c r="E25" s="36">
        <v>-3</v>
      </c>
      <c r="F25" s="36"/>
      <c r="G25" s="36"/>
      <c r="H25" s="36"/>
      <c r="I25" s="36">
        <f t="shared" si="15"/>
        <v>-3</v>
      </c>
      <c r="J25" s="37"/>
      <c r="L25" s="22">
        <v>5</v>
      </c>
      <c r="M25" s="38" t="s">
        <v>27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9"/>
    </row>
    <row r="26" spans="1:25" ht="48" customHeight="1" thickBot="1" x14ac:dyDescent="0.35">
      <c r="A26" s="22">
        <v>6</v>
      </c>
      <c r="B26" s="26" t="s">
        <v>37</v>
      </c>
      <c r="C26" s="36">
        <v>28</v>
      </c>
      <c r="D26" s="36"/>
      <c r="E26" s="36">
        <v>0</v>
      </c>
      <c r="F26" s="36"/>
      <c r="G26" s="36"/>
      <c r="H26" s="36"/>
      <c r="I26" s="36">
        <f t="shared" si="15"/>
        <v>28</v>
      </c>
      <c r="J26" s="37"/>
      <c r="L26" s="22">
        <v>6</v>
      </c>
      <c r="M26" s="38" t="s">
        <v>26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9"/>
    </row>
    <row r="27" spans="1:25" ht="48" customHeight="1" thickBot="1" x14ac:dyDescent="0.35">
      <c r="A27" s="22">
        <v>7</v>
      </c>
      <c r="B27" s="26" t="s">
        <v>38</v>
      </c>
      <c r="C27" s="36">
        <v>0</v>
      </c>
      <c r="D27" s="36"/>
      <c r="E27" s="36">
        <v>-4</v>
      </c>
      <c r="F27" s="36"/>
      <c r="G27" s="36"/>
      <c r="H27" s="36"/>
      <c r="I27" s="36">
        <f t="shared" si="15"/>
        <v>-4</v>
      </c>
      <c r="J27" s="37"/>
      <c r="L27" s="22">
        <v>7</v>
      </c>
      <c r="M27" s="38" t="s">
        <v>24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9"/>
    </row>
    <row r="28" spans="1:25" ht="48" customHeight="1" thickBot="1" x14ac:dyDescent="0.35">
      <c r="A28" s="22">
        <v>8</v>
      </c>
      <c r="B28" s="26" t="s">
        <v>39</v>
      </c>
      <c r="C28" s="36">
        <v>0</v>
      </c>
      <c r="D28" s="36"/>
      <c r="E28" s="36">
        <v>0</v>
      </c>
      <c r="F28" s="36"/>
      <c r="G28" s="36"/>
      <c r="H28" s="36"/>
      <c r="I28" s="36">
        <f t="shared" si="15"/>
        <v>0</v>
      </c>
      <c r="J28" s="37"/>
      <c r="L28" s="22">
        <v>8</v>
      </c>
      <c r="M28" s="38" t="s">
        <v>23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9"/>
    </row>
    <row r="29" spans="1:25" ht="48" customHeight="1" thickBot="1" x14ac:dyDescent="0.35">
      <c r="A29" s="22">
        <v>9</v>
      </c>
      <c r="B29" s="26"/>
      <c r="C29" s="36"/>
      <c r="D29" s="36"/>
      <c r="E29" s="36"/>
      <c r="F29" s="36"/>
      <c r="G29" s="36"/>
      <c r="H29" s="36"/>
      <c r="I29" s="36"/>
      <c r="J29" s="37"/>
      <c r="L29" s="22">
        <v>9</v>
      </c>
      <c r="M29" s="38" t="s">
        <v>25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9"/>
    </row>
    <row r="30" spans="1:25" ht="48" customHeight="1" thickBot="1" x14ac:dyDescent="0.35">
      <c r="A30" s="23">
        <v>10</v>
      </c>
      <c r="B30" s="27"/>
      <c r="C30" s="32"/>
      <c r="D30" s="32"/>
      <c r="E30" s="32"/>
      <c r="F30" s="32"/>
      <c r="G30" s="32"/>
      <c r="H30" s="32"/>
      <c r="I30" s="32"/>
      <c r="J30" s="33"/>
      <c r="L30" s="23">
        <v>10</v>
      </c>
      <c r="M30" s="34" t="s">
        <v>30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5"/>
    </row>
    <row r="31" spans="1:25" ht="15" thickTop="1" x14ac:dyDescent="0.3"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5" spans="13:13" x14ac:dyDescent="0.3">
      <c r="M35" s="31"/>
    </row>
  </sheetData>
  <sheetProtection algorithmName="SHA-512" hashValue="U3Tmx2YyB3XG4SVBKwfISq9/jTRLK2cD8gXp748nG+M4PPHPsPIxOAihGM5XSkk9lMobEa7xinc765zRe6/n5Q==" saltValue="SfD1bj5UKp8cnwToAQeRRA==" spinCount="100000" sheet="1" objects="1" scenarios="1"/>
  <mergeCells count="67">
    <mergeCell ref="AO1:AO2"/>
    <mergeCell ref="A1:A2"/>
    <mergeCell ref="B1:B2"/>
    <mergeCell ref="C1:C2"/>
    <mergeCell ref="D1:H1"/>
    <mergeCell ref="I1:M1"/>
    <mergeCell ref="N1:R1"/>
    <mergeCell ref="S1:W1"/>
    <mergeCell ref="X1:AB1"/>
    <mergeCell ref="AC1:AG1"/>
    <mergeCell ref="AH1:AL1"/>
    <mergeCell ref="AM1:AN1"/>
    <mergeCell ref="C21:D21"/>
    <mergeCell ref="E21:F21"/>
    <mergeCell ref="G21:H21"/>
    <mergeCell ref="I21:J21"/>
    <mergeCell ref="M21:Y21"/>
    <mergeCell ref="C20:D20"/>
    <mergeCell ref="E20:F20"/>
    <mergeCell ref="G20:H20"/>
    <mergeCell ref="I20:J20"/>
    <mergeCell ref="L20:Y20"/>
    <mergeCell ref="C23:D23"/>
    <mergeCell ref="E23:F23"/>
    <mergeCell ref="G23:H23"/>
    <mergeCell ref="I23:J23"/>
    <mergeCell ref="M23:Y23"/>
    <mergeCell ref="C22:D22"/>
    <mergeCell ref="E22:F22"/>
    <mergeCell ref="G22:H22"/>
    <mergeCell ref="I22:J22"/>
    <mergeCell ref="M22:Y22"/>
    <mergeCell ref="C25:D25"/>
    <mergeCell ref="E25:F25"/>
    <mergeCell ref="G25:H25"/>
    <mergeCell ref="I25:J25"/>
    <mergeCell ref="M25:Y25"/>
    <mergeCell ref="C24:D24"/>
    <mergeCell ref="E24:F24"/>
    <mergeCell ref="G24:H24"/>
    <mergeCell ref="I24:J24"/>
    <mergeCell ref="M24:Y24"/>
    <mergeCell ref="C27:D27"/>
    <mergeCell ref="E27:F27"/>
    <mergeCell ref="G27:H27"/>
    <mergeCell ref="I27:J27"/>
    <mergeCell ref="M27:Y27"/>
    <mergeCell ref="C26:D26"/>
    <mergeCell ref="E26:F26"/>
    <mergeCell ref="G26:H26"/>
    <mergeCell ref="I26:J26"/>
    <mergeCell ref="M26:Y26"/>
    <mergeCell ref="C29:D29"/>
    <mergeCell ref="E29:F29"/>
    <mergeCell ref="G29:H29"/>
    <mergeCell ref="I29:J29"/>
    <mergeCell ref="M29:Y29"/>
    <mergeCell ref="C28:D28"/>
    <mergeCell ref="E28:F28"/>
    <mergeCell ref="G28:H28"/>
    <mergeCell ref="I28:J28"/>
    <mergeCell ref="M28:Y28"/>
    <mergeCell ref="C30:D30"/>
    <mergeCell ref="E30:F30"/>
    <mergeCell ref="G30:H30"/>
    <mergeCell ref="I30:J30"/>
    <mergeCell ref="M30:Y30"/>
  </mergeCells>
  <printOptions horizontalCentered="1" verticalCentered="1"/>
  <pageMargins left="0" right="0" top="0" bottom="0" header="0" footer="0"/>
  <pageSetup paperSize="9" scale="2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3B54C7-E336-43BB-B992-C93C04EDCD31}">
          <x14:formula1>
            <xm:f>Sayfa1!$A$1:$A$48</xm:f>
          </x14:formula1>
          <xm:sqref>D3:E14 AC3:AD14 X3:Y14 S3:T14 N3:O14 I3:J14 AH3:AI14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C8F-A63D-42BC-92CA-00547CC5C67C}">
  <sheetPr>
    <pageSetUpPr fitToPage="1"/>
  </sheetPr>
  <dimension ref="A1:AO35"/>
  <sheetViews>
    <sheetView topLeftCell="A2" zoomScale="40" zoomScaleNormal="40" workbookViewId="0">
      <selection activeCell="G22" sqref="G22:H22"/>
    </sheetView>
  </sheetViews>
  <sheetFormatPr defaultColWidth="9.109375" defaultRowHeight="14.4" x14ac:dyDescent="0.3"/>
  <cols>
    <col min="1" max="1" width="8.44140625" style="13" bestFit="1" customWidth="1"/>
    <col min="2" max="2" width="25.77734375" style="13" customWidth="1"/>
    <col min="3" max="3" width="14.5546875" style="13" bestFit="1" customWidth="1"/>
    <col min="4" max="4" width="11.21875" style="13" bestFit="1" customWidth="1"/>
    <col min="5" max="5" width="11.21875" style="13" customWidth="1"/>
    <col min="6" max="7" width="11.21875" style="13" bestFit="1" customWidth="1"/>
    <col min="8" max="8" width="11.21875" style="13" customWidth="1"/>
    <col min="9" max="10" width="11.21875" style="13" bestFit="1" customWidth="1"/>
    <col min="11" max="11" width="11.21875" style="13" customWidth="1"/>
    <col min="12" max="38" width="11.21875" style="13" bestFit="1" customWidth="1"/>
    <col min="39" max="40" width="20.77734375" style="13" customWidth="1"/>
    <col min="41" max="41" width="40.77734375" style="13" customWidth="1"/>
    <col min="42" max="16384" width="9.109375" style="13"/>
  </cols>
  <sheetData>
    <row r="1" spans="1:41" s="7" customFormat="1" ht="25.5" customHeight="1" thickTop="1" thickBot="1" x14ac:dyDescent="0.35">
      <c r="A1" s="47" t="s">
        <v>0</v>
      </c>
      <c r="B1" s="49" t="s">
        <v>4</v>
      </c>
      <c r="C1" s="51" t="s">
        <v>1</v>
      </c>
      <c r="D1" s="53">
        <v>46300</v>
      </c>
      <c r="E1" s="54"/>
      <c r="F1" s="54"/>
      <c r="G1" s="54"/>
      <c r="H1" s="55"/>
      <c r="I1" s="53">
        <f>D1+1</f>
        <v>46301</v>
      </c>
      <c r="J1" s="54"/>
      <c r="K1" s="54"/>
      <c r="L1" s="54"/>
      <c r="M1" s="55"/>
      <c r="N1" s="53">
        <f>I1+1</f>
        <v>46302</v>
      </c>
      <c r="O1" s="54"/>
      <c r="P1" s="54"/>
      <c r="Q1" s="54"/>
      <c r="R1" s="55"/>
      <c r="S1" s="53">
        <f>N1+1</f>
        <v>46303</v>
      </c>
      <c r="T1" s="54"/>
      <c r="U1" s="54"/>
      <c r="V1" s="54"/>
      <c r="W1" s="55"/>
      <c r="X1" s="53">
        <f>S1+1</f>
        <v>46304</v>
      </c>
      <c r="Y1" s="54"/>
      <c r="Z1" s="54"/>
      <c r="AA1" s="54"/>
      <c r="AB1" s="55"/>
      <c r="AC1" s="53">
        <f>X1+1</f>
        <v>46305</v>
      </c>
      <c r="AD1" s="54"/>
      <c r="AE1" s="54"/>
      <c r="AF1" s="54"/>
      <c r="AG1" s="55"/>
      <c r="AH1" s="53">
        <f>AC1+1</f>
        <v>46306</v>
      </c>
      <c r="AI1" s="54"/>
      <c r="AJ1" s="54"/>
      <c r="AK1" s="54"/>
      <c r="AL1" s="55"/>
      <c r="AM1" s="56" t="s">
        <v>12</v>
      </c>
      <c r="AN1" s="57"/>
      <c r="AO1" s="45" t="s">
        <v>19</v>
      </c>
    </row>
    <row r="2" spans="1:41" ht="41.4" customHeight="1" thickBot="1" x14ac:dyDescent="0.35">
      <c r="A2" s="48"/>
      <c r="B2" s="50"/>
      <c r="C2" s="52"/>
      <c r="D2" s="8" t="s">
        <v>2</v>
      </c>
      <c r="E2" s="9" t="s">
        <v>3</v>
      </c>
      <c r="F2" s="10" t="s">
        <v>7</v>
      </c>
      <c r="G2" s="10" t="s">
        <v>6</v>
      </c>
      <c r="H2" s="11" t="s">
        <v>8</v>
      </c>
      <c r="I2" s="8" t="s">
        <v>2</v>
      </c>
      <c r="J2" s="9" t="s">
        <v>3</v>
      </c>
      <c r="K2" s="10" t="s">
        <v>7</v>
      </c>
      <c r="L2" s="10" t="s">
        <v>6</v>
      </c>
      <c r="M2" s="11" t="s">
        <v>8</v>
      </c>
      <c r="N2" s="8" t="s">
        <v>2</v>
      </c>
      <c r="O2" s="9" t="s">
        <v>3</v>
      </c>
      <c r="P2" s="10" t="s">
        <v>7</v>
      </c>
      <c r="Q2" s="10" t="s">
        <v>6</v>
      </c>
      <c r="R2" s="11" t="s">
        <v>8</v>
      </c>
      <c r="S2" s="8" t="s">
        <v>2</v>
      </c>
      <c r="T2" s="9" t="s">
        <v>3</v>
      </c>
      <c r="U2" s="10" t="s">
        <v>7</v>
      </c>
      <c r="V2" s="10" t="s">
        <v>6</v>
      </c>
      <c r="W2" s="11" t="s">
        <v>8</v>
      </c>
      <c r="X2" s="8" t="s">
        <v>2</v>
      </c>
      <c r="Y2" s="9" t="s">
        <v>3</v>
      </c>
      <c r="Z2" s="10" t="s">
        <v>7</v>
      </c>
      <c r="AA2" s="10" t="s">
        <v>6</v>
      </c>
      <c r="AB2" s="11" t="s">
        <v>8</v>
      </c>
      <c r="AC2" s="8" t="s">
        <v>2</v>
      </c>
      <c r="AD2" s="9" t="s">
        <v>3</v>
      </c>
      <c r="AE2" s="10" t="s">
        <v>7</v>
      </c>
      <c r="AF2" s="10" t="s">
        <v>6</v>
      </c>
      <c r="AG2" s="11" t="s">
        <v>8</v>
      </c>
      <c r="AH2" s="8" t="s">
        <v>2</v>
      </c>
      <c r="AI2" s="9" t="s">
        <v>3</v>
      </c>
      <c r="AJ2" s="10" t="s">
        <v>7</v>
      </c>
      <c r="AK2" s="10" t="s">
        <v>6</v>
      </c>
      <c r="AL2" s="11" t="s">
        <v>8</v>
      </c>
      <c r="AM2" s="12" t="s">
        <v>10</v>
      </c>
      <c r="AN2" s="11" t="s">
        <v>11</v>
      </c>
      <c r="AO2" s="46"/>
    </row>
    <row r="3" spans="1:41" ht="48" customHeight="1" thickBot="1" x14ac:dyDescent="0.35">
      <c r="A3" s="22">
        <v>1</v>
      </c>
      <c r="B3" s="1" t="s">
        <v>32</v>
      </c>
      <c r="C3" s="2" t="s">
        <v>5</v>
      </c>
      <c r="D3" s="4">
        <v>0.39583333333333298</v>
      </c>
      <c r="E3" s="5">
        <v>0.72916666666666696</v>
      </c>
      <c r="F3" s="14">
        <f>E3-D3</f>
        <v>0.33333333333333398</v>
      </c>
      <c r="G3" s="15">
        <f>IFERROR(VLOOKUP(F3,Sayfa1!C:D,2,TRUE),"")</f>
        <v>4.1666666666666664E-2</v>
      </c>
      <c r="H3" s="16">
        <f t="shared" ref="H3:H14" si="0">IFERROR(F3-G3,"")</f>
        <v>0.2916666666666673</v>
      </c>
      <c r="I3" s="4">
        <v>0</v>
      </c>
      <c r="J3" s="5">
        <v>0</v>
      </c>
      <c r="K3" s="14">
        <f>J3-I3</f>
        <v>0</v>
      </c>
      <c r="L3" s="15">
        <f>IFERROR(VLOOKUP(K3,Sayfa1!C:D,2,TRUE),"")</f>
        <v>0</v>
      </c>
      <c r="M3" s="16">
        <f t="shared" ref="M3:M14" si="1">IFERROR(K3-L3,"")</f>
        <v>0</v>
      </c>
      <c r="N3" s="4">
        <v>0.60416666666666696</v>
      </c>
      <c r="O3" s="5">
        <v>0.91666666666666696</v>
      </c>
      <c r="P3" s="14">
        <f>O3-N3</f>
        <v>0.3125</v>
      </c>
      <c r="Q3" s="15">
        <f>IFERROR(VLOOKUP(P3,Sayfa1!C:D,2,TRUE),"")</f>
        <v>4.1666666666666664E-2</v>
      </c>
      <c r="R3" s="16">
        <f t="shared" ref="R3:R14" si="2">IFERROR(P3-Q3,"")</f>
        <v>0.27083333333333331</v>
      </c>
      <c r="S3" s="4">
        <v>0.35416666666666702</v>
      </c>
      <c r="T3" s="5">
        <v>0.83333333333333304</v>
      </c>
      <c r="U3" s="14">
        <f>T3-S3</f>
        <v>0.47916666666666602</v>
      </c>
      <c r="V3" s="15">
        <f>IFERROR(VLOOKUP(U3,Sayfa1!C:D,2,TRUE),"")</f>
        <v>6.25E-2</v>
      </c>
      <c r="W3" s="16">
        <f t="shared" ref="W3:W14" si="3">IFERROR(U3-V3,"")</f>
        <v>0.41666666666666602</v>
      </c>
      <c r="X3" s="4">
        <v>0.39583333333333298</v>
      </c>
      <c r="Y3" s="5">
        <v>0.75</v>
      </c>
      <c r="Z3" s="14">
        <f>Y3-X3</f>
        <v>0.35416666666666702</v>
      </c>
      <c r="AA3" s="15">
        <f>IFERROR(VLOOKUP(Z3,Sayfa1!C:D,2,TRUE),"")</f>
        <v>6.25E-2</v>
      </c>
      <c r="AB3" s="16">
        <f t="shared" ref="AB3:AB14" si="4">IFERROR(Z3-AA3,"")</f>
        <v>0.29166666666666702</v>
      </c>
      <c r="AC3" s="4">
        <v>0.5625</v>
      </c>
      <c r="AD3" s="5">
        <v>0.91666666666666696</v>
      </c>
      <c r="AE3" s="14">
        <f>AD3-AC3</f>
        <v>0.35416666666666696</v>
      </c>
      <c r="AF3" s="15">
        <f>IFERROR(VLOOKUP(AE3,Sayfa1!C:D,2,TRUE),"")</f>
        <v>4.1666666666666664E-2</v>
      </c>
      <c r="AG3" s="16">
        <f t="shared" ref="AG3:AG14" si="5">IFERROR(AE3-AF3,"")</f>
        <v>0.31250000000000028</v>
      </c>
      <c r="AH3" s="4">
        <v>0.39583333333333298</v>
      </c>
      <c r="AI3" s="5">
        <v>0.75</v>
      </c>
      <c r="AJ3" s="14">
        <f>AI3-AH3</f>
        <v>0.35416666666666702</v>
      </c>
      <c r="AK3" s="15">
        <f>IFERROR(VLOOKUP(AJ3,Sayfa1!C:D,2,TRUE),"")</f>
        <v>6.25E-2</v>
      </c>
      <c r="AL3" s="16">
        <f>IFERROR(AJ3-AK3,"")</f>
        <v>0.29166666666666702</v>
      </c>
      <c r="AM3" s="17">
        <f>IFERROR(H3+M3+R3+W3+AB3+AG3+AL3,"")</f>
        <v>1.8750000000000009</v>
      </c>
      <c r="AN3" s="18">
        <f>IFERROR(AM3-(Sayfa1!$I$1/24),"")</f>
        <v>8.8817841970012523E-16</v>
      </c>
      <c r="AO3" s="29"/>
    </row>
    <row r="4" spans="1:41" ht="48" customHeight="1" thickBot="1" x14ac:dyDescent="0.35">
      <c r="A4" s="22">
        <v>2</v>
      </c>
      <c r="B4" s="1" t="s">
        <v>33</v>
      </c>
      <c r="C4" s="2" t="s">
        <v>31</v>
      </c>
      <c r="D4" s="4">
        <v>0.58333333333333304</v>
      </c>
      <c r="E4" s="5">
        <v>0.91666666666666696</v>
      </c>
      <c r="F4" s="14">
        <f t="shared" ref="F4:F14" si="6">E4-D4</f>
        <v>0.33333333333333393</v>
      </c>
      <c r="G4" s="15">
        <f>IFERROR(VLOOKUP(F4,Sayfa1!C:D,2,TRUE),"")</f>
        <v>4.1666666666666664E-2</v>
      </c>
      <c r="H4" s="16">
        <f t="shared" si="0"/>
        <v>0.29166666666666724</v>
      </c>
      <c r="I4" s="4">
        <v>0.39583333333333298</v>
      </c>
      <c r="J4" s="5">
        <v>0.91666666666666696</v>
      </c>
      <c r="K4" s="14">
        <f t="shared" ref="K4:K14" si="7">J4-I4</f>
        <v>0.52083333333333393</v>
      </c>
      <c r="L4" s="15">
        <f>IFERROR(VLOOKUP(K4,Sayfa1!C:D,2,TRUE),"")</f>
        <v>8.3333333333333329E-2</v>
      </c>
      <c r="M4" s="16">
        <f t="shared" si="1"/>
        <v>0.43750000000000061</v>
      </c>
      <c r="N4" s="4">
        <v>0</v>
      </c>
      <c r="O4" s="5">
        <v>0</v>
      </c>
      <c r="P4" s="14">
        <f t="shared" ref="P4:P14" si="8">O4-N4</f>
        <v>0</v>
      </c>
      <c r="Q4" s="15">
        <f>IFERROR(VLOOKUP(P4,Sayfa1!C:D,2,TRUE),"")</f>
        <v>0</v>
      </c>
      <c r="R4" s="16">
        <f t="shared" si="2"/>
        <v>0</v>
      </c>
      <c r="S4" s="4">
        <v>0.60416666666666696</v>
      </c>
      <c r="T4" s="5">
        <v>0.91666666666666696</v>
      </c>
      <c r="U4" s="14">
        <f t="shared" ref="U4:U14" si="9">T4-S4</f>
        <v>0.3125</v>
      </c>
      <c r="V4" s="15">
        <f>IFERROR(VLOOKUP(U4,Sayfa1!C:D,2,TRUE),"")</f>
        <v>4.1666666666666664E-2</v>
      </c>
      <c r="W4" s="16">
        <f t="shared" si="3"/>
        <v>0.27083333333333331</v>
      </c>
      <c r="X4" s="4">
        <v>0.58333333333333304</v>
      </c>
      <c r="Y4" s="5">
        <v>0.91666666666666696</v>
      </c>
      <c r="Z4" s="14">
        <f t="shared" ref="Z4:Z14" si="10">Y4-X4</f>
        <v>0.33333333333333393</v>
      </c>
      <c r="AA4" s="15">
        <f>IFERROR(VLOOKUP(Z4,Sayfa1!C:D,2,TRUE),"")</f>
        <v>4.1666666666666664E-2</v>
      </c>
      <c r="AB4" s="16">
        <f t="shared" si="4"/>
        <v>0.29166666666666724</v>
      </c>
      <c r="AC4" s="4">
        <v>0.39583333333333298</v>
      </c>
      <c r="AD4" s="5">
        <v>0.75</v>
      </c>
      <c r="AE4" s="14">
        <f t="shared" ref="AE4:AE14" si="11">AD4-AC4</f>
        <v>0.35416666666666702</v>
      </c>
      <c r="AF4" s="15">
        <f>IFERROR(VLOOKUP(AE4,Sayfa1!C:D,2,TRUE),"")</f>
        <v>6.25E-2</v>
      </c>
      <c r="AG4" s="16">
        <f t="shared" si="5"/>
        <v>0.29166666666666702</v>
      </c>
      <c r="AH4" s="4">
        <v>0.58333333333333304</v>
      </c>
      <c r="AI4" s="5">
        <v>0.91666666666666696</v>
      </c>
      <c r="AJ4" s="14">
        <f t="shared" ref="AJ4:AJ14" si="12">AI4-AH4</f>
        <v>0.33333333333333393</v>
      </c>
      <c r="AK4" s="15">
        <f>IFERROR(VLOOKUP(AJ4,Sayfa1!C:D,2,TRUE),"")</f>
        <v>4.1666666666666664E-2</v>
      </c>
      <c r="AL4" s="16">
        <f t="shared" ref="AL4:AL14" si="13">IFERROR(AJ4-AK4,"")</f>
        <v>0.29166666666666724</v>
      </c>
      <c r="AM4" s="17">
        <f t="shared" ref="AM4:AM14" si="14">IFERROR(H4+M4+R4+W4+AB4+AG4+AL4,"")</f>
        <v>1.8750000000000024</v>
      </c>
      <c r="AN4" s="18">
        <f>IFERROR(AM4-(Sayfa1!$I$1/24),"")</f>
        <v>2.4424906541753444E-15</v>
      </c>
      <c r="AO4" s="29"/>
    </row>
    <row r="5" spans="1:41" ht="48" customHeight="1" thickBot="1" x14ac:dyDescent="0.35">
      <c r="A5" s="22">
        <v>3</v>
      </c>
      <c r="B5" s="1" t="s">
        <v>34</v>
      </c>
      <c r="C5" s="2" t="s">
        <v>13</v>
      </c>
      <c r="D5" s="4">
        <v>0.60416666666666696</v>
      </c>
      <c r="E5" s="5">
        <v>0.91666666666666696</v>
      </c>
      <c r="F5" s="14">
        <f t="shared" si="6"/>
        <v>0.3125</v>
      </c>
      <c r="G5" s="15">
        <f>IFERROR(VLOOKUP(F5,Sayfa1!C:D,2,TRUE),"")</f>
        <v>4.1666666666666664E-2</v>
      </c>
      <c r="H5" s="16">
        <f t="shared" si="0"/>
        <v>0.27083333333333331</v>
      </c>
      <c r="I5" s="4">
        <v>0.39583333333333298</v>
      </c>
      <c r="J5" s="5">
        <v>0.72916666666666696</v>
      </c>
      <c r="K5" s="14">
        <f t="shared" si="7"/>
        <v>0.33333333333333398</v>
      </c>
      <c r="L5" s="15">
        <f>IFERROR(VLOOKUP(K5,Sayfa1!C:D,2,TRUE),"")</f>
        <v>4.1666666666666664E-2</v>
      </c>
      <c r="M5" s="16">
        <f t="shared" si="1"/>
        <v>0.2916666666666673</v>
      </c>
      <c r="N5" s="4">
        <v>0</v>
      </c>
      <c r="O5" s="5">
        <v>0</v>
      </c>
      <c r="P5" s="14">
        <f t="shared" si="8"/>
        <v>0</v>
      </c>
      <c r="Q5" s="15">
        <f>IFERROR(VLOOKUP(P5,Sayfa1!C:D,2,TRUE),"")</f>
        <v>0</v>
      </c>
      <c r="R5" s="16">
        <f t="shared" si="2"/>
        <v>0</v>
      </c>
      <c r="S5" s="4">
        <v>0.60416666666666696</v>
      </c>
      <c r="T5" s="5">
        <v>0.91666666666666696</v>
      </c>
      <c r="U5" s="14">
        <f t="shared" si="9"/>
        <v>0.3125</v>
      </c>
      <c r="V5" s="15">
        <f>IFERROR(VLOOKUP(U5,Sayfa1!C:D,2,TRUE),"")</f>
        <v>4.1666666666666664E-2</v>
      </c>
      <c r="W5" s="16">
        <f t="shared" si="3"/>
        <v>0.27083333333333331</v>
      </c>
      <c r="X5" s="4">
        <v>0.39583333333333298</v>
      </c>
      <c r="Y5" s="5">
        <v>0.91666666666666696</v>
      </c>
      <c r="Z5" s="14">
        <f t="shared" si="10"/>
        <v>0.52083333333333393</v>
      </c>
      <c r="AA5" s="15">
        <f>IFERROR(VLOOKUP(Z5,Sayfa1!C:D,2,TRUE),"")</f>
        <v>8.3333333333333329E-2</v>
      </c>
      <c r="AB5" s="16">
        <f t="shared" si="4"/>
        <v>0.43750000000000061</v>
      </c>
      <c r="AC5" s="4">
        <v>0.5</v>
      </c>
      <c r="AD5" s="5">
        <v>0.83333333333333304</v>
      </c>
      <c r="AE5" s="14">
        <f t="shared" si="11"/>
        <v>0.33333333333333304</v>
      </c>
      <c r="AF5" s="15">
        <f>IFERROR(VLOOKUP(AE5,Sayfa1!C:D,2,TRUE),"")</f>
        <v>4.1666666666666664E-2</v>
      </c>
      <c r="AG5" s="16">
        <f t="shared" si="5"/>
        <v>0.29166666666666635</v>
      </c>
      <c r="AH5" s="4">
        <v>0.54166666666666696</v>
      </c>
      <c r="AI5" s="5">
        <v>0.83333333333333304</v>
      </c>
      <c r="AJ5" s="14">
        <f t="shared" si="12"/>
        <v>0.29166666666666607</v>
      </c>
      <c r="AK5" s="15">
        <f>IFERROR(VLOOKUP(AJ5,Sayfa1!C:D,2,TRUE),"")</f>
        <v>4.1666666666666664E-2</v>
      </c>
      <c r="AL5" s="16">
        <f t="shared" si="13"/>
        <v>0.24999999999999942</v>
      </c>
      <c r="AM5" s="17">
        <f t="shared" si="14"/>
        <v>1.8125000000000002</v>
      </c>
      <c r="AN5" s="18">
        <f>IFERROR(AM5-(Sayfa1!$I$1/24),"")</f>
        <v>-6.2499999999999778E-2</v>
      </c>
      <c r="AO5" s="29"/>
    </row>
    <row r="6" spans="1:41" ht="48" customHeight="1" thickBot="1" x14ac:dyDescent="0.35">
      <c r="A6" s="22">
        <v>4</v>
      </c>
      <c r="B6" s="1" t="s">
        <v>35</v>
      </c>
      <c r="C6" s="2" t="s">
        <v>13</v>
      </c>
      <c r="D6" s="4">
        <v>0</v>
      </c>
      <c r="E6" s="5">
        <v>0</v>
      </c>
      <c r="F6" s="14">
        <f t="shared" si="6"/>
        <v>0</v>
      </c>
      <c r="G6" s="15">
        <f>IFERROR(VLOOKUP(F6,Sayfa1!C:D,2,TRUE),"")</f>
        <v>0</v>
      </c>
      <c r="H6" s="16">
        <f t="shared" si="0"/>
        <v>0</v>
      </c>
      <c r="I6" s="4">
        <v>0.58333333333333304</v>
      </c>
      <c r="J6" s="5">
        <v>0.91666666666666696</v>
      </c>
      <c r="K6" s="14">
        <f t="shared" si="7"/>
        <v>0.33333333333333393</v>
      </c>
      <c r="L6" s="15">
        <f>IFERROR(VLOOKUP(K6,Sayfa1!C:D,2,TRUE),"")</f>
        <v>4.1666666666666664E-2</v>
      </c>
      <c r="M6" s="16">
        <f t="shared" si="1"/>
        <v>0.29166666666666724</v>
      </c>
      <c r="N6" s="4">
        <v>0.58333333333333304</v>
      </c>
      <c r="O6" s="5">
        <v>0.91666666666666696</v>
      </c>
      <c r="P6" s="14">
        <f t="shared" si="8"/>
        <v>0.33333333333333393</v>
      </c>
      <c r="Q6" s="15">
        <f>IFERROR(VLOOKUP(P6,Sayfa1!C:D,2,TRUE),"")</f>
        <v>4.1666666666666664E-2</v>
      </c>
      <c r="R6" s="16">
        <f t="shared" si="2"/>
        <v>0.29166666666666724</v>
      </c>
      <c r="S6" s="4">
        <v>0.35416666666666702</v>
      </c>
      <c r="T6" s="5">
        <v>0.91666666666666696</v>
      </c>
      <c r="U6" s="14">
        <f t="shared" si="9"/>
        <v>0.5625</v>
      </c>
      <c r="V6" s="15">
        <f>IFERROR(VLOOKUP(U6,Sayfa1!C:D,2,TRUE),"")</f>
        <v>8.3333333333333329E-2</v>
      </c>
      <c r="W6" s="16">
        <f t="shared" si="3"/>
        <v>0.47916666666666669</v>
      </c>
      <c r="X6" s="4">
        <v>0.58333333333333304</v>
      </c>
      <c r="Y6" s="5">
        <v>0.91666666666666696</v>
      </c>
      <c r="Z6" s="14">
        <f t="shared" si="10"/>
        <v>0.33333333333333393</v>
      </c>
      <c r="AA6" s="15">
        <f>IFERROR(VLOOKUP(Z6,Sayfa1!C:D,2,TRUE),"")</f>
        <v>4.1666666666666664E-2</v>
      </c>
      <c r="AB6" s="16">
        <f t="shared" si="4"/>
        <v>0.29166666666666724</v>
      </c>
      <c r="AC6" s="4">
        <v>0.39583333333333298</v>
      </c>
      <c r="AD6" s="5">
        <v>0.75</v>
      </c>
      <c r="AE6" s="14">
        <f t="shared" si="11"/>
        <v>0.35416666666666702</v>
      </c>
      <c r="AF6" s="15">
        <f>IFERROR(VLOOKUP(AE6,Sayfa1!C:D,2,TRUE),"")</f>
        <v>6.25E-2</v>
      </c>
      <c r="AG6" s="16">
        <f t="shared" si="5"/>
        <v>0.29166666666666702</v>
      </c>
      <c r="AH6" s="4">
        <v>0.39583333333333298</v>
      </c>
      <c r="AI6" s="5">
        <v>0.72916666666666696</v>
      </c>
      <c r="AJ6" s="14">
        <f t="shared" si="12"/>
        <v>0.33333333333333398</v>
      </c>
      <c r="AK6" s="15">
        <f>IFERROR(VLOOKUP(AJ6,Sayfa1!C:D,2,TRUE),"")</f>
        <v>4.1666666666666664E-2</v>
      </c>
      <c r="AL6" s="16">
        <f t="shared" si="13"/>
        <v>0.2916666666666673</v>
      </c>
      <c r="AM6" s="17">
        <f t="shared" si="14"/>
        <v>1.9375000000000027</v>
      </c>
      <c r="AN6" s="18">
        <f>IFERROR(AM6-(Sayfa1!$I$1/24),"")</f>
        <v>6.2500000000002665E-2</v>
      </c>
      <c r="AO6" s="29"/>
    </row>
    <row r="7" spans="1:41" ht="48" customHeight="1" thickBot="1" x14ac:dyDescent="0.35">
      <c r="A7" s="22">
        <v>5</v>
      </c>
      <c r="B7" s="1" t="s">
        <v>38</v>
      </c>
      <c r="C7" s="2" t="s">
        <v>13</v>
      </c>
      <c r="D7" s="4">
        <v>0.39583333333333298</v>
      </c>
      <c r="E7" s="5">
        <v>0.72916666666666696</v>
      </c>
      <c r="F7" s="14">
        <f t="shared" si="6"/>
        <v>0.33333333333333398</v>
      </c>
      <c r="G7" s="15">
        <f>IFERROR(VLOOKUP(F7,Sayfa1!C:D,2,TRUE),"")</f>
        <v>4.1666666666666664E-2</v>
      </c>
      <c r="H7" s="16">
        <f t="shared" si="0"/>
        <v>0.2916666666666673</v>
      </c>
      <c r="I7" s="4">
        <v>0.5</v>
      </c>
      <c r="J7" s="5">
        <v>0.83333333333333304</v>
      </c>
      <c r="K7" s="14">
        <f t="shared" si="7"/>
        <v>0.33333333333333304</v>
      </c>
      <c r="L7" s="15">
        <f>IFERROR(VLOOKUP(K7,Sayfa1!C:D,2,TRUE),"")</f>
        <v>4.1666666666666664E-2</v>
      </c>
      <c r="M7" s="16">
        <f t="shared" si="1"/>
        <v>0.29166666666666635</v>
      </c>
      <c r="N7" s="4">
        <v>0.39583333333333298</v>
      </c>
      <c r="O7" s="5">
        <v>0.91666666666666696</v>
      </c>
      <c r="P7" s="14">
        <f t="shared" si="8"/>
        <v>0.52083333333333393</v>
      </c>
      <c r="Q7" s="15">
        <f>IFERROR(VLOOKUP(P7,Sayfa1!C:D,2,TRUE),"")</f>
        <v>8.3333333333333329E-2</v>
      </c>
      <c r="R7" s="16">
        <f t="shared" si="2"/>
        <v>0.43750000000000061</v>
      </c>
      <c r="S7" s="4">
        <v>0.35416666666666702</v>
      </c>
      <c r="T7" s="5">
        <v>0.72916666666666696</v>
      </c>
      <c r="U7" s="14">
        <f t="shared" si="9"/>
        <v>0.37499999999999994</v>
      </c>
      <c r="V7" s="15">
        <f>IFERROR(VLOOKUP(U7,Sayfa1!C:D,2,TRUE),"")</f>
        <v>6.25E-2</v>
      </c>
      <c r="W7" s="16">
        <f t="shared" si="3"/>
        <v>0.31249999999999994</v>
      </c>
      <c r="X7" s="4">
        <v>0</v>
      </c>
      <c r="Y7" s="5">
        <v>0</v>
      </c>
      <c r="Z7" s="14">
        <f t="shared" si="10"/>
        <v>0</v>
      </c>
      <c r="AA7" s="15">
        <f>IFERROR(VLOOKUP(Z7,Sayfa1!C:D,2,TRUE),"")</f>
        <v>0</v>
      </c>
      <c r="AB7" s="16">
        <f t="shared" si="4"/>
        <v>0</v>
      </c>
      <c r="AC7" s="4">
        <v>0.54166666666666696</v>
      </c>
      <c r="AD7" s="5">
        <v>0.91666666666666696</v>
      </c>
      <c r="AE7" s="14">
        <f t="shared" si="11"/>
        <v>0.375</v>
      </c>
      <c r="AF7" s="15">
        <f>IFERROR(VLOOKUP(AE7,Sayfa1!C:D,2,TRUE),"")</f>
        <v>6.25E-2</v>
      </c>
      <c r="AG7" s="16">
        <f t="shared" si="5"/>
        <v>0.3125</v>
      </c>
      <c r="AH7" s="4">
        <v>0.54166666666666696</v>
      </c>
      <c r="AI7" s="5">
        <v>0.91666666666666696</v>
      </c>
      <c r="AJ7" s="14">
        <f t="shared" si="12"/>
        <v>0.375</v>
      </c>
      <c r="AK7" s="15">
        <f>IFERROR(VLOOKUP(AJ7,Sayfa1!C:D,2,TRUE),"")</f>
        <v>6.25E-2</v>
      </c>
      <c r="AL7" s="16">
        <f t="shared" si="13"/>
        <v>0.3125</v>
      </c>
      <c r="AM7" s="17">
        <f t="shared" si="14"/>
        <v>1.9583333333333344</v>
      </c>
      <c r="AN7" s="18">
        <f>IFERROR(AM7-(Sayfa1!$I$1/24),"")</f>
        <v>8.333333333333437E-2</v>
      </c>
      <c r="AO7" s="29"/>
    </row>
    <row r="8" spans="1:41" ht="48" customHeight="1" thickBot="1" x14ac:dyDescent="0.35">
      <c r="A8" s="22">
        <v>6</v>
      </c>
      <c r="B8" s="1" t="s">
        <v>39</v>
      </c>
      <c r="C8" s="2" t="s">
        <v>13</v>
      </c>
      <c r="D8" s="4">
        <v>0.58333333333333304</v>
      </c>
      <c r="E8" s="5">
        <v>0.91666666666666696</v>
      </c>
      <c r="F8" s="14">
        <f t="shared" si="6"/>
        <v>0.33333333333333393</v>
      </c>
      <c r="G8" s="15">
        <f>IFERROR(VLOOKUP(F8,Sayfa1!C:D,2,TRUE),"")</f>
        <v>4.1666666666666664E-2</v>
      </c>
      <c r="H8" s="16">
        <f t="shared" si="0"/>
        <v>0.29166666666666724</v>
      </c>
      <c r="I8" s="4">
        <v>0.58333333333333304</v>
      </c>
      <c r="J8" s="5">
        <v>0.91666666666666696</v>
      </c>
      <c r="K8" s="14">
        <f t="shared" si="7"/>
        <v>0.33333333333333393</v>
      </c>
      <c r="L8" s="15">
        <f>IFERROR(VLOOKUP(K8,Sayfa1!C:D,2,TRUE),"")</f>
        <v>4.1666666666666664E-2</v>
      </c>
      <c r="M8" s="16">
        <f t="shared" si="1"/>
        <v>0.29166666666666724</v>
      </c>
      <c r="N8" s="4">
        <v>0.39583333333333298</v>
      </c>
      <c r="O8" s="5">
        <v>0.72916666666666696</v>
      </c>
      <c r="P8" s="14">
        <f t="shared" si="8"/>
        <v>0.33333333333333398</v>
      </c>
      <c r="Q8" s="15">
        <f>IFERROR(VLOOKUP(P8,Sayfa1!C:D,2,TRUE),"")</f>
        <v>4.1666666666666664E-2</v>
      </c>
      <c r="R8" s="16">
        <f t="shared" si="2"/>
        <v>0.2916666666666673</v>
      </c>
      <c r="S8" s="4">
        <v>0.35416666666666702</v>
      </c>
      <c r="T8" s="5">
        <v>0.6875</v>
      </c>
      <c r="U8" s="14">
        <f t="shared" si="9"/>
        <v>0.33333333333333298</v>
      </c>
      <c r="V8" s="15">
        <f>IFERROR(VLOOKUP(U8,Sayfa1!C:D,2,TRUE),"")</f>
        <v>4.1666666666666664E-2</v>
      </c>
      <c r="W8" s="16">
        <f t="shared" si="3"/>
        <v>0.2916666666666663</v>
      </c>
      <c r="X8" s="4">
        <v>0</v>
      </c>
      <c r="Y8" s="5">
        <v>0</v>
      </c>
      <c r="Z8" s="14">
        <f t="shared" si="10"/>
        <v>0</v>
      </c>
      <c r="AA8" s="15">
        <f>IFERROR(VLOOKUP(Z8,Sayfa1!C:D,2,TRUE),"")</f>
        <v>0</v>
      </c>
      <c r="AB8" s="16">
        <f t="shared" si="4"/>
        <v>0</v>
      </c>
      <c r="AC8" s="4">
        <v>0.60416666666666696</v>
      </c>
      <c r="AD8" s="5">
        <v>0.91666666666666696</v>
      </c>
      <c r="AE8" s="14">
        <f t="shared" si="11"/>
        <v>0.3125</v>
      </c>
      <c r="AF8" s="15">
        <f>IFERROR(VLOOKUP(AE8,Sayfa1!C:D,2,TRUE),"")</f>
        <v>4.1666666666666664E-2</v>
      </c>
      <c r="AG8" s="16">
        <f t="shared" si="5"/>
        <v>0.27083333333333331</v>
      </c>
      <c r="AH8" s="4">
        <v>0.39583333333333298</v>
      </c>
      <c r="AI8" s="5">
        <v>0.91666666666666696</v>
      </c>
      <c r="AJ8" s="14">
        <f t="shared" si="12"/>
        <v>0.52083333333333393</v>
      </c>
      <c r="AK8" s="15">
        <f>IFERROR(VLOOKUP(AJ8,Sayfa1!C:D,2,TRUE),"")</f>
        <v>8.3333333333333329E-2</v>
      </c>
      <c r="AL8" s="16">
        <f t="shared" si="13"/>
        <v>0.43750000000000061</v>
      </c>
      <c r="AM8" s="17">
        <f t="shared" si="14"/>
        <v>1.875000000000002</v>
      </c>
      <c r="AN8" s="18">
        <f>IFERROR(AM8-(Sayfa1!$I$1/24),"")</f>
        <v>1.9984014443252818E-15</v>
      </c>
      <c r="AO8" s="29"/>
    </row>
    <row r="9" spans="1:41" ht="48" customHeight="1" thickBot="1" x14ac:dyDescent="0.35">
      <c r="A9" s="22">
        <v>7</v>
      </c>
      <c r="B9" s="1"/>
      <c r="C9" s="2" t="s">
        <v>13</v>
      </c>
      <c r="D9" s="4"/>
      <c r="E9" s="5"/>
      <c r="F9" s="14">
        <f t="shared" si="6"/>
        <v>0</v>
      </c>
      <c r="G9" s="15">
        <f>IFERROR(VLOOKUP(F9,Sayfa1!C:D,2,TRUE),"")</f>
        <v>0</v>
      </c>
      <c r="H9" s="16">
        <f t="shared" si="0"/>
        <v>0</v>
      </c>
      <c r="I9" s="4"/>
      <c r="J9" s="5"/>
      <c r="K9" s="14">
        <f t="shared" si="7"/>
        <v>0</v>
      </c>
      <c r="L9" s="15">
        <f>IFERROR(VLOOKUP(K9,Sayfa1!C:D,2,TRUE),"")</f>
        <v>0</v>
      </c>
      <c r="M9" s="16">
        <f t="shared" si="1"/>
        <v>0</v>
      </c>
      <c r="N9" s="4"/>
      <c r="O9" s="5"/>
      <c r="P9" s="14">
        <f t="shared" si="8"/>
        <v>0</v>
      </c>
      <c r="Q9" s="15">
        <f>IFERROR(VLOOKUP(P9,Sayfa1!C:D,2,TRUE),"")</f>
        <v>0</v>
      </c>
      <c r="R9" s="16">
        <f t="shared" si="2"/>
        <v>0</v>
      </c>
      <c r="S9" s="4"/>
      <c r="T9" s="5"/>
      <c r="U9" s="14">
        <f t="shared" si="9"/>
        <v>0</v>
      </c>
      <c r="V9" s="15">
        <f>IFERROR(VLOOKUP(U9,Sayfa1!C:D,2,TRUE),"")</f>
        <v>0</v>
      </c>
      <c r="W9" s="16">
        <f t="shared" si="3"/>
        <v>0</v>
      </c>
      <c r="X9" s="4"/>
      <c r="Y9" s="5"/>
      <c r="Z9" s="14">
        <f t="shared" si="10"/>
        <v>0</v>
      </c>
      <c r="AA9" s="15">
        <f>IFERROR(VLOOKUP(Z9,Sayfa1!C:D,2,TRUE),"")</f>
        <v>0</v>
      </c>
      <c r="AB9" s="16">
        <f t="shared" si="4"/>
        <v>0</v>
      </c>
      <c r="AC9" s="4"/>
      <c r="AD9" s="5"/>
      <c r="AE9" s="14">
        <f t="shared" si="11"/>
        <v>0</v>
      </c>
      <c r="AF9" s="15">
        <f>IFERROR(VLOOKUP(AE9,Sayfa1!C:D,2,TRUE),"")</f>
        <v>0</v>
      </c>
      <c r="AG9" s="16">
        <f t="shared" si="5"/>
        <v>0</v>
      </c>
      <c r="AH9" s="4"/>
      <c r="AI9" s="5"/>
      <c r="AJ9" s="14">
        <f t="shared" si="12"/>
        <v>0</v>
      </c>
      <c r="AK9" s="15">
        <f>IFERROR(VLOOKUP(AJ9,Sayfa1!C:D,2,TRUE),"")</f>
        <v>0</v>
      </c>
      <c r="AL9" s="16">
        <f t="shared" si="13"/>
        <v>0</v>
      </c>
      <c r="AM9" s="17">
        <f t="shared" si="14"/>
        <v>0</v>
      </c>
      <c r="AN9" s="18">
        <f>IFERROR(AM9-(Sayfa1!$I$1/24),"")</f>
        <v>-1.875</v>
      </c>
      <c r="AO9" s="29"/>
    </row>
    <row r="10" spans="1:41" ht="48" customHeight="1" thickBot="1" x14ac:dyDescent="0.35">
      <c r="A10" s="22">
        <v>8</v>
      </c>
      <c r="B10" s="1"/>
      <c r="C10" s="2" t="s">
        <v>13</v>
      </c>
      <c r="D10" s="4"/>
      <c r="E10" s="5"/>
      <c r="F10" s="14">
        <f t="shared" si="6"/>
        <v>0</v>
      </c>
      <c r="G10" s="15">
        <f>IFERROR(VLOOKUP(F10,Sayfa1!C:D,2,TRUE),"")</f>
        <v>0</v>
      </c>
      <c r="H10" s="16">
        <f t="shared" si="0"/>
        <v>0</v>
      </c>
      <c r="I10" s="4"/>
      <c r="J10" s="5"/>
      <c r="K10" s="14">
        <f t="shared" si="7"/>
        <v>0</v>
      </c>
      <c r="L10" s="15">
        <f>IFERROR(VLOOKUP(K10,Sayfa1!C:D,2,TRUE),"")</f>
        <v>0</v>
      </c>
      <c r="M10" s="16">
        <f t="shared" si="1"/>
        <v>0</v>
      </c>
      <c r="N10" s="4"/>
      <c r="O10" s="5"/>
      <c r="P10" s="14">
        <f t="shared" si="8"/>
        <v>0</v>
      </c>
      <c r="Q10" s="15">
        <f>IFERROR(VLOOKUP(P10,Sayfa1!C:D,2,TRUE),"")</f>
        <v>0</v>
      </c>
      <c r="R10" s="16">
        <f t="shared" si="2"/>
        <v>0</v>
      </c>
      <c r="S10" s="4"/>
      <c r="T10" s="5"/>
      <c r="U10" s="14">
        <f t="shared" si="9"/>
        <v>0</v>
      </c>
      <c r="V10" s="15">
        <f>IFERROR(VLOOKUP(U10,Sayfa1!C:D,2,TRUE),"")</f>
        <v>0</v>
      </c>
      <c r="W10" s="16">
        <f t="shared" si="3"/>
        <v>0</v>
      </c>
      <c r="X10" s="4"/>
      <c r="Y10" s="5"/>
      <c r="Z10" s="14">
        <f t="shared" si="10"/>
        <v>0</v>
      </c>
      <c r="AA10" s="15">
        <f>IFERROR(VLOOKUP(Z10,Sayfa1!C:D,2,TRUE),"")</f>
        <v>0</v>
      </c>
      <c r="AB10" s="16">
        <f t="shared" si="4"/>
        <v>0</v>
      </c>
      <c r="AC10" s="4"/>
      <c r="AD10" s="5"/>
      <c r="AE10" s="14">
        <f t="shared" si="11"/>
        <v>0</v>
      </c>
      <c r="AF10" s="15">
        <f>IFERROR(VLOOKUP(AE10,Sayfa1!C:D,2,TRUE),"")</f>
        <v>0</v>
      </c>
      <c r="AG10" s="16">
        <f t="shared" si="5"/>
        <v>0</v>
      </c>
      <c r="AH10" s="4"/>
      <c r="AI10" s="5"/>
      <c r="AJ10" s="14">
        <f t="shared" si="12"/>
        <v>0</v>
      </c>
      <c r="AK10" s="15">
        <f>IFERROR(VLOOKUP(AJ10,Sayfa1!C:D,2,TRUE),"")</f>
        <v>0</v>
      </c>
      <c r="AL10" s="16">
        <f t="shared" si="13"/>
        <v>0</v>
      </c>
      <c r="AM10" s="17">
        <f t="shared" si="14"/>
        <v>0</v>
      </c>
      <c r="AN10" s="18">
        <f>IFERROR(AM10-(Sayfa1!$I$1/24),"")</f>
        <v>-1.875</v>
      </c>
      <c r="AO10" s="29"/>
    </row>
    <row r="11" spans="1:41" ht="48" customHeight="1" thickBot="1" x14ac:dyDescent="0.35">
      <c r="A11" s="22">
        <v>9</v>
      </c>
      <c r="B11" s="1"/>
      <c r="C11" s="2" t="s">
        <v>13</v>
      </c>
      <c r="D11" s="4"/>
      <c r="E11" s="5"/>
      <c r="F11" s="14">
        <f t="shared" si="6"/>
        <v>0</v>
      </c>
      <c r="G11" s="15">
        <f>IFERROR(VLOOKUP(F11,Sayfa1!C:D,2,TRUE),"")</f>
        <v>0</v>
      </c>
      <c r="H11" s="16">
        <f t="shared" si="0"/>
        <v>0</v>
      </c>
      <c r="I11" s="4"/>
      <c r="J11" s="5"/>
      <c r="K11" s="14">
        <f t="shared" si="7"/>
        <v>0</v>
      </c>
      <c r="L11" s="15">
        <f>IFERROR(VLOOKUP(K11,Sayfa1!C:D,2,TRUE),"")</f>
        <v>0</v>
      </c>
      <c r="M11" s="16">
        <f t="shared" si="1"/>
        <v>0</v>
      </c>
      <c r="N11" s="4"/>
      <c r="O11" s="5"/>
      <c r="P11" s="14">
        <f t="shared" si="8"/>
        <v>0</v>
      </c>
      <c r="Q11" s="15">
        <f>IFERROR(VLOOKUP(P11,Sayfa1!C:D,2,TRUE),"")</f>
        <v>0</v>
      </c>
      <c r="R11" s="16">
        <f t="shared" si="2"/>
        <v>0</v>
      </c>
      <c r="S11" s="4"/>
      <c r="T11" s="5"/>
      <c r="U11" s="14">
        <f t="shared" si="9"/>
        <v>0</v>
      </c>
      <c r="V11" s="15">
        <f>IFERROR(VLOOKUP(U11,Sayfa1!C:D,2,TRUE),"")</f>
        <v>0</v>
      </c>
      <c r="W11" s="16">
        <f t="shared" si="3"/>
        <v>0</v>
      </c>
      <c r="X11" s="4"/>
      <c r="Y11" s="5"/>
      <c r="Z11" s="14">
        <f t="shared" si="10"/>
        <v>0</v>
      </c>
      <c r="AA11" s="15">
        <f>IFERROR(VLOOKUP(Z11,Sayfa1!C:D,2,TRUE),"")</f>
        <v>0</v>
      </c>
      <c r="AB11" s="16">
        <f t="shared" si="4"/>
        <v>0</v>
      </c>
      <c r="AC11" s="4"/>
      <c r="AD11" s="5"/>
      <c r="AE11" s="14">
        <f t="shared" si="11"/>
        <v>0</v>
      </c>
      <c r="AF11" s="15">
        <f>IFERROR(VLOOKUP(AE11,Sayfa1!C:D,2,TRUE),"")</f>
        <v>0</v>
      </c>
      <c r="AG11" s="16">
        <f t="shared" si="5"/>
        <v>0</v>
      </c>
      <c r="AH11" s="4"/>
      <c r="AI11" s="5"/>
      <c r="AJ11" s="14">
        <f t="shared" si="12"/>
        <v>0</v>
      </c>
      <c r="AK11" s="15">
        <f>IFERROR(VLOOKUP(AJ11,Sayfa1!C:D,2,TRUE),"")</f>
        <v>0</v>
      </c>
      <c r="AL11" s="16">
        <f t="shared" si="13"/>
        <v>0</v>
      </c>
      <c r="AM11" s="17">
        <f t="shared" si="14"/>
        <v>0</v>
      </c>
      <c r="AN11" s="18">
        <f>IFERROR(AM11-(Sayfa1!$I$1/24),"")</f>
        <v>-1.875</v>
      </c>
      <c r="AO11" s="29"/>
    </row>
    <row r="12" spans="1:41" ht="48" customHeight="1" thickBot="1" x14ac:dyDescent="0.35">
      <c r="A12" s="22">
        <v>10</v>
      </c>
      <c r="B12" s="1"/>
      <c r="C12" s="2" t="s">
        <v>13</v>
      </c>
      <c r="D12" s="4"/>
      <c r="E12" s="5"/>
      <c r="F12" s="14">
        <f t="shared" si="6"/>
        <v>0</v>
      </c>
      <c r="G12" s="15">
        <f>IFERROR(VLOOKUP(F12,Sayfa1!C:D,2,TRUE),"")</f>
        <v>0</v>
      </c>
      <c r="H12" s="16">
        <f t="shared" si="0"/>
        <v>0</v>
      </c>
      <c r="I12" s="4"/>
      <c r="J12" s="5"/>
      <c r="K12" s="14">
        <f t="shared" si="7"/>
        <v>0</v>
      </c>
      <c r="L12" s="15">
        <f>IFERROR(VLOOKUP(K12,Sayfa1!C:D,2,TRUE),"")</f>
        <v>0</v>
      </c>
      <c r="M12" s="16">
        <f t="shared" si="1"/>
        <v>0</v>
      </c>
      <c r="N12" s="4"/>
      <c r="O12" s="5"/>
      <c r="P12" s="14">
        <f t="shared" si="8"/>
        <v>0</v>
      </c>
      <c r="Q12" s="15">
        <f>IFERROR(VLOOKUP(P12,Sayfa1!C:D,2,TRUE),"")</f>
        <v>0</v>
      </c>
      <c r="R12" s="16">
        <f t="shared" si="2"/>
        <v>0</v>
      </c>
      <c r="S12" s="4"/>
      <c r="T12" s="5"/>
      <c r="U12" s="14">
        <f t="shared" si="9"/>
        <v>0</v>
      </c>
      <c r="V12" s="15">
        <f>IFERROR(VLOOKUP(U12,Sayfa1!C:D,2,TRUE),"")</f>
        <v>0</v>
      </c>
      <c r="W12" s="16">
        <f t="shared" si="3"/>
        <v>0</v>
      </c>
      <c r="X12" s="4"/>
      <c r="Y12" s="5"/>
      <c r="Z12" s="14">
        <f t="shared" si="10"/>
        <v>0</v>
      </c>
      <c r="AA12" s="15">
        <f>IFERROR(VLOOKUP(Z12,Sayfa1!C:D,2,TRUE),"")</f>
        <v>0</v>
      </c>
      <c r="AB12" s="16">
        <f t="shared" si="4"/>
        <v>0</v>
      </c>
      <c r="AC12" s="4"/>
      <c r="AD12" s="5"/>
      <c r="AE12" s="14">
        <f t="shared" si="11"/>
        <v>0</v>
      </c>
      <c r="AF12" s="15">
        <f>IFERROR(VLOOKUP(AE12,Sayfa1!C:D,2,TRUE),"")</f>
        <v>0</v>
      </c>
      <c r="AG12" s="16">
        <f t="shared" si="5"/>
        <v>0</v>
      </c>
      <c r="AH12" s="4"/>
      <c r="AI12" s="5"/>
      <c r="AJ12" s="14">
        <f t="shared" si="12"/>
        <v>0</v>
      </c>
      <c r="AK12" s="15">
        <f>IFERROR(VLOOKUP(AJ12,Sayfa1!C:D,2,TRUE),"")</f>
        <v>0</v>
      </c>
      <c r="AL12" s="16">
        <f t="shared" si="13"/>
        <v>0</v>
      </c>
      <c r="AM12" s="17">
        <f t="shared" si="14"/>
        <v>0</v>
      </c>
      <c r="AN12" s="18">
        <f>IFERROR(AM12-(Sayfa1!$I$1/24),"")</f>
        <v>-1.875</v>
      </c>
      <c r="AO12" s="29"/>
    </row>
    <row r="13" spans="1:41" ht="48" customHeight="1" thickBot="1" x14ac:dyDescent="0.35">
      <c r="A13" s="22">
        <v>11</v>
      </c>
      <c r="B13" s="1"/>
      <c r="C13" s="2" t="s">
        <v>13</v>
      </c>
      <c r="D13" s="4"/>
      <c r="E13" s="5"/>
      <c r="F13" s="14">
        <f t="shared" si="6"/>
        <v>0</v>
      </c>
      <c r="G13" s="15">
        <f>IFERROR(VLOOKUP(F13,Sayfa1!C:D,2,TRUE),"")</f>
        <v>0</v>
      </c>
      <c r="H13" s="16">
        <f t="shared" si="0"/>
        <v>0</v>
      </c>
      <c r="I13" s="4"/>
      <c r="J13" s="5"/>
      <c r="K13" s="14">
        <f t="shared" si="7"/>
        <v>0</v>
      </c>
      <c r="L13" s="15">
        <f>IFERROR(VLOOKUP(K13,Sayfa1!C:D,2,TRUE),"")</f>
        <v>0</v>
      </c>
      <c r="M13" s="16">
        <f t="shared" si="1"/>
        <v>0</v>
      </c>
      <c r="N13" s="4"/>
      <c r="O13" s="5"/>
      <c r="P13" s="14">
        <f t="shared" si="8"/>
        <v>0</v>
      </c>
      <c r="Q13" s="15">
        <f>IFERROR(VLOOKUP(P13,Sayfa1!C:D,2,TRUE),"")</f>
        <v>0</v>
      </c>
      <c r="R13" s="16">
        <f t="shared" si="2"/>
        <v>0</v>
      </c>
      <c r="S13" s="4"/>
      <c r="T13" s="5"/>
      <c r="U13" s="14">
        <f t="shared" si="9"/>
        <v>0</v>
      </c>
      <c r="V13" s="15">
        <f>IFERROR(VLOOKUP(U13,Sayfa1!C:D,2,TRUE),"")</f>
        <v>0</v>
      </c>
      <c r="W13" s="16">
        <f t="shared" si="3"/>
        <v>0</v>
      </c>
      <c r="X13" s="4"/>
      <c r="Y13" s="5"/>
      <c r="Z13" s="14">
        <f t="shared" si="10"/>
        <v>0</v>
      </c>
      <c r="AA13" s="15">
        <f>IFERROR(VLOOKUP(Z13,Sayfa1!C:D,2,TRUE),"")</f>
        <v>0</v>
      </c>
      <c r="AB13" s="16">
        <f t="shared" si="4"/>
        <v>0</v>
      </c>
      <c r="AC13" s="4"/>
      <c r="AD13" s="5"/>
      <c r="AE13" s="14">
        <f t="shared" si="11"/>
        <v>0</v>
      </c>
      <c r="AF13" s="15">
        <f>IFERROR(VLOOKUP(AE13,Sayfa1!C:D,2,TRUE),"")</f>
        <v>0</v>
      </c>
      <c r="AG13" s="16">
        <f t="shared" si="5"/>
        <v>0</v>
      </c>
      <c r="AH13" s="4"/>
      <c r="AI13" s="5"/>
      <c r="AJ13" s="14">
        <f t="shared" si="12"/>
        <v>0</v>
      </c>
      <c r="AK13" s="15">
        <f>IFERROR(VLOOKUP(AJ13,Sayfa1!C:D,2,TRUE),"")</f>
        <v>0</v>
      </c>
      <c r="AL13" s="16">
        <f t="shared" si="13"/>
        <v>0</v>
      </c>
      <c r="AM13" s="17">
        <f t="shared" si="14"/>
        <v>0</v>
      </c>
      <c r="AN13" s="18">
        <f>IFERROR(AM13-(Sayfa1!$I$1/24),"")</f>
        <v>-1.875</v>
      </c>
      <c r="AO13" s="29"/>
    </row>
    <row r="14" spans="1:41" ht="48" customHeight="1" thickBot="1" x14ac:dyDescent="0.35">
      <c r="A14" s="23">
        <v>12</v>
      </c>
      <c r="B14" s="24"/>
      <c r="C14" s="2" t="s">
        <v>13</v>
      </c>
      <c r="D14" s="4"/>
      <c r="E14" s="5"/>
      <c r="F14" s="14">
        <f t="shared" si="6"/>
        <v>0</v>
      </c>
      <c r="G14" s="15">
        <f>IFERROR(VLOOKUP(F14,Sayfa1!C:D,2,TRUE),"")</f>
        <v>0</v>
      </c>
      <c r="H14" s="16">
        <f t="shared" si="0"/>
        <v>0</v>
      </c>
      <c r="I14" s="4"/>
      <c r="J14" s="5"/>
      <c r="K14" s="14">
        <f t="shared" si="7"/>
        <v>0</v>
      </c>
      <c r="L14" s="15">
        <f>IFERROR(VLOOKUP(K14,Sayfa1!C:D,2,TRUE),"")</f>
        <v>0</v>
      </c>
      <c r="M14" s="16">
        <f t="shared" si="1"/>
        <v>0</v>
      </c>
      <c r="N14" s="4"/>
      <c r="O14" s="5"/>
      <c r="P14" s="14">
        <f t="shared" si="8"/>
        <v>0</v>
      </c>
      <c r="Q14" s="15">
        <f>IFERROR(VLOOKUP(P14,Sayfa1!C:D,2,TRUE),"")</f>
        <v>0</v>
      </c>
      <c r="R14" s="16">
        <f t="shared" si="2"/>
        <v>0</v>
      </c>
      <c r="S14" s="4"/>
      <c r="T14" s="5"/>
      <c r="U14" s="14">
        <f t="shared" si="9"/>
        <v>0</v>
      </c>
      <c r="V14" s="15">
        <f>IFERROR(VLOOKUP(U14,Sayfa1!C:D,2,TRUE),"")</f>
        <v>0</v>
      </c>
      <c r="W14" s="16">
        <f t="shared" si="3"/>
        <v>0</v>
      </c>
      <c r="X14" s="4"/>
      <c r="Y14" s="5"/>
      <c r="Z14" s="14">
        <f t="shared" si="10"/>
        <v>0</v>
      </c>
      <c r="AA14" s="15">
        <f>IFERROR(VLOOKUP(Z14,Sayfa1!C:D,2,TRUE),"")</f>
        <v>0</v>
      </c>
      <c r="AB14" s="16">
        <f t="shared" si="4"/>
        <v>0</v>
      </c>
      <c r="AC14" s="4"/>
      <c r="AD14" s="5"/>
      <c r="AE14" s="14">
        <f t="shared" si="11"/>
        <v>0</v>
      </c>
      <c r="AF14" s="15">
        <f>IFERROR(VLOOKUP(AE14,Sayfa1!C:D,2,TRUE),"")</f>
        <v>0</v>
      </c>
      <c r="AG14" s="16">
        <f t="shared" si="5"/>
        <v>0</v>
      </c>
      <c r="AH14" s="4"/>
      <c r="AI14" s="5"/>
      <c r="AJ14" s="14">
        <f t="shared" si="12"/>
        <v>0</v>
      </c>
      <c r="AK14" s="15">
        <f>IFERROR(VLOOKUP(AJ14,Sayfa1!C:D,2,TRUE),"")</f>
        <v>0</v>
      </c>
      <c r="AL14" s="16">
        <f t="shared" si="13"/>
        <v>0</v>
      </c>
      <c r="AM14" s="17">
        <f t="shared" si="14"/>
        <v>0</v>
      </c>
      <c r="AN14" s="18">
        <f>IFERROR(AM14-(Sayfa1!$I$1/24),"")</f>
        <v>-1.875</v>
      </c>
      <c r="AO14" s="29"/>
    </row>
    <row r="15" spans="1:41" ht="15" thickTop="1" x14ac:dyDescent="0.3"/>
    <row r="19" spans="1:25" ht="15" thickBot="1" x14ac:dyDescent="0.35"/>
    <row r="20" spans="1:25" ht="55.05" customHeight="1" thickTop="1" thickBot="1" x14ac:dyDescent="0.35">
      <c r="A20" s="25" t="s">
        <v>0</v>
      </c>
      <c r="B20" s="28" t="s">
        <v>4</v>
      </c>
      <c r="C20" s="40" t="s">
        <v>18</v>
      </c>
      <c r="D20" s="40"/>
      <c r="E20" s="40" t="s">
        <v>15</v>
      </c>
      <c r="F20" s="40"/>
      <c r="G20" s="40" t="s">
        <v>16</v>
      </c>
      <c r="H20" s="40"/>
      <c r="I20" s="40" t="s">
        <v>17</v>
      </c>
      <c r="J20" s="41"/>
      <c r="L20" s="42" t="s">
        <v>20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4"/>
    </row>
    <row r="21" spans="1:25" ht="48" customHeight="1" thickBot="1" x14ac:dyDescent="0.35">
      <c r="A21" s="22">
        <v>1</v>
      </c>
      <c r="B21" s="26" t="s">
        <v>32</v>
      </c>
      <c r="C21" s="36">
        <v>54.5</v>
      </c>
      <c r="D21" s="36"/>
      <c r="E21" s="36">
        <v>8</v>
      </c>
      <c r="F21" s="36"/>
      <c r="G21" s="36"/>
      <c r="H21" s="36"/>
      <c r="I21" s="36">
        <v>63</v>
      </c>
      <c r="J21" s="37"/>
      <c r="L21" s="22">
        <v>1</v>
      </c>
      <c r="M21" s="38" t="s">
        <v>21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9"/>
    </row>
    <row r="22" spans="1:25" ht="48" customHeight="1" thickBot="1" x14ac:dyDescent="0.35">
      <c r="A22" s="22">
        <v>2</v>
      </c>
      <c r="B22" s="26" t="s">
        <v>40</v>
      </c>
      <c r="C22" s="36">
        <v>-3.5</v>
      </c>
      <c r="D22" s="36"/>
      <c r="E22" s="36">
        <v>10</v>
      </c>
      <c r="F22" s="36"/>
      <c r="G22" s="36"/>
      <c r="H22" s="36"/>
      <c r="I22" s="36">
        <v>6</v>
      </c>
      <c r="J22" s="37"/>
      <c r="L22" s="22">
        <v>2</v>
      </c>
      <c r="M22" s="38" t="s">
        <v>22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9"/>
    </row>
    <row r="23" spans="1:25" ht="48" customHeight="1" thickBot="1" x14ac:dyDescent="0.35">
      <c r="A23" s="22">
        <v>3</v>
      </c>
      <c r="B23" s="26" t="s">
        <v>34</v>
      </c>
      <c r="C23" s="36">
        <v>1</v>
      </c>
      <c r="D23" s="36"/>
      <c r="E23" s="36">
        <v>-1</v>
      </c>
      <c r="F23" s="36"/>
      <c r="G23" s="36"/>
      <c r="H23" s="36"/>
      <c r="I23" s="36" t="s">
        <v>43</v>
      </c>
      <c r="J23" s="37"/>
      <c r="L23" s="22">
        <v>3</v>
      </c>
      <c r="M23" s="38" t="s">
        <v>28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9"/>
    </row>
    <row r="24" spans="1:25" ht="48" customHeight="1" thickBot="1" x14ac:dyDescent="0.35">
      <c r="A24" s="22">
        <v>4</v>
      </c>
      <c r="B24" s="26" t="s">
        <v>35</v>
      </c>
      <c r="C24" s="36">
        <v>15</v>
      </c>
      <c r="D24" s="36"/>
      <c r="E24" s="36">
        <v>0</v>
      </c>
      <c r="F24" s="36"/>
      <c r="G24" s="36"/>
      <c r="H24" s="36"/>
      <c r="I24" s="36" t="s">
        <v>51</v>
      </c>
      <c r="J24" s="37"/>
      <c r="L24" s="22">
        <v>4</v>
      </c>
      <c r="M24" s="38" t="s">
        <v>29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9"/>
    </row>
    <row r="25" spans="1:25" ht="48" customHeight="1" thickBot="1" x14ac:dyDescent="0.35">
      <c r="A25" s="22">
        <v>5</v>
      </c>
      <c r="B25" s="26" t="s">
        <v>38</v>
      </c>
      <c r="C25" s="36">
        <v>-4</v>
      </c>
      <c r="D25" s="36"/>
      <c r="E25" s="36">
        <v>1.5</v>
      </c>
      <c r="F25" s="36"/>
      <c r="G25" s="36"/>
      <c r="H25" s="36"/>
      <c r="I25" s="36">
        <v>0</v>
      </c>
      <c r="J25" s="37"/>
      <c r="L25" s="22">
        <v>5</v>
      </c>
      <c r="M25" s="38" t="s">
        <v>27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9"/>
    </row>
    <row r="26" spans="1:25" ht="48" customHeight="1" thickBot="1" x14ac:dyDescent="0.35">
      <c r="A26" s="22">
        <v>6</v>
      </c>
      <c r="B26" s="26" t="s">
        <v>39</v>
      </c>
      <c r="C26" s="36">
        <v>0</v>
      </c>
      <c r="D26" s="36"/>
      <c r="E26" s="36">
        <v>0</v>
      </c>
      <c r="F26" s="36"/>
      <c r="G26" s="36"/>
      <c r="H26" s="36"/>
      <c r="I26" s="36">
        <f t="shared" ref="I26" si="15">SUM(C26:F26)</f>
        <v>0</v>
      </c>
      <c r="J26" s="37"/>
      <c r="L26" s="22">
        <v>6</v>
      </c>
      <c r="M26" s="38" t="s">
        <v>26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9"/>
    </row>
    <row r="27" spans="1:25" ht="48" customHeight="1" thickBot="1" x14ac:dyDescent="0.35">
      <c r="A27" s="22">
        <v>7</v>
      </c>
      <c r="B27" s="26"/>
      <c r="C27" s="36"/>
      <c r="D27" s="36"/>
      <c r="E27" s="36"/>
      <c r="F27" s="36"/>
      <c r="G27" s="36"/>
      <c r="H27" s="36"/>
      <c r="I27" s="36"/>
      <c r="J27" s="37"/>
      <c r="L27" s="22">
        <v>7</v>
      </c>
      <c r="M27" s="38" t="s">
        <v>24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9"/>
    </row>
    <row r="28" spans="1:25" ht="48" customHeight="1" thickBot="1" x14ac:dyDescent="0.35">
      <c r="A28" s="22">
        <v>8</v>
      </c>
      <c r="B28" s="26"/>
      <c r="C28" s="36"/>
      <c r="D28" s="36"/>
      <c r="E28" s="36"/>
      <c r="F28" s="36"/>
      <c r="G28" s="36"/>
      <c r="H28" s="36"/>
      <c r="I28" s="36"/>
      <c r="J28" s="37"/>
      <c r="L28" s="22">
        <v>8</v>
      </c>
      <c r="M28" s="38" t="s">
        <v>23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9"/>
    </row>
    <row r="29" spans="1:25" ht="48" customHeight="1" thickBot="1" x14ac:dyDescent="0.35">
      <c r="A29" s="22">
        <v>9</v>
      </c>
      <c r="B29" s="26"/>
      <c r="C29" s="36"/>
      <c r="D29" s="36"/>
      <c r="E29" s="36"/>
      <c r="F29" s="36"/>
      <c r="G29" s="36"/>
      <c r="H29" s="36"/>
      <c r="I29" s="36"/>
      <c r="J29" s="37"/>
      <c r="L29" s="22">
        <v>9</v>
      </c>
      <c r="M29" s="38" t="s">
        <v>25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9"/>
    </row>
    <row r="30" spans="1:25" ht="48" customHeight="1" thickBot="1" x14ac:dyDescent="0.35">
      <c r="A30" s="23">
        <v>10</v>
      </c>
      <c r="B30" s="27"/>
      <c r="C30" s="32"/>
      <c r="D30" s="32"/>
      <c r="E30" s="32"/>
      <c r="F30" s="32"/>
      <c r="G30" s="32"/>
      <c r="H30" s="32"/>
      <c r="I30" s="32"/>
      <c r="J30" s="33"/>
      <c r="L30" s="23">
        <v>10</v>
      </c>
      <c r="M30" s="34" t="s">
        <v>30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5"/>
    </row>
    <row r="31" spans="1:25" ht="15" thickTop="1" x14ac:dyDescent="0.3"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5" spans="13:13" x14ac:dyDescent="0.3">
      <c r="M35" s="31"/>
    </row>
  </sheetData>
  <sheetProtection algorithmName="SHA-512" hashValue="U3Tmx2YyB3XG4SVBKwfISq9/jTRLK2cD8gXp748nG+M4PPHPsPIxOAihGM5XSkk9lMobEa7xinc765zRe6/n5Q==" saltValue="SfD1bj5UKp8cnwToAQeRRA==" spinCount="100000" sheet="1" objects="1" scenarios="1"/>
  <mergeCells count="67">
    <mergeCell ref="AO1:AO2"/>
    <mergeCell ref="A1:A2"/>
    <mergeCell ref="B1:B2"/>
    <mergeCell ref="C1:C2"/>
    <mergeCell ref="D1:H1"/>
    <mergeCell ref="I1:M1"/>
    <mergeCell ref="N1:R1"/>
    <mergeCell ref="S1:W1"/>
    <mergeCell ref="X1:AB1"/>
    <mergeCell ref="AC1:AG1"/>
    <mergeCell ref="AH1:AL1"/>
    <mergeCell ref="AM1:AN1"/>
    <mergeCell ref="C21:D21"/>
    <mergeCell ref="E21:F21"/>
    <mergeCell ref="G21:H21"/>
    <mergeCell ref="I21:J21"/>
    <mergeCell ref="M21:Y21"/>
    <mergeCell ref="C20:D20"/>
    <mergeCell ref="E20:F20"/>
    <mergeCell ref="G20:H20"/>
    <mergeCell ref="I20:J20"/>
    <mergeCell ref="L20:Y20"/>
    <mergeCell ref="C23:D23"/>
    <mergeCell ref="E23:F23"/>
    <mergeCell ref="G23:H23"/>
    <mergeCell ref="I23:J23"/>
    <mergeCell ref="M23:Y23"/>
    <mergeCell ref="C22:D22"/>
    <mergeCell ref="E22:F22"/>
    <mergeCell ref="G22:H22"/>
    <mergeCell ref="I22:J22"/>
    <mergeCell ref="M22:Y22"/>
    <mergeCell ref="C25:D25"/>
    <mergeCell ref="E25:F25"/>
    <mergeCell ref="G25:H25"/>
    <mergeCell ref="I25:J25"/>
    <mergeCell ref="M25:Y25"/>
    <mergeCell ref="C24:D24"/>
    <mergeCell ref="E24:F24"/>
    <mergeCell ref="G24:H24"/>
    <mergeCell ref="I24:J24"/>
    <mergeCell ref="M24:Y24"/>
    <mergeCell ref="C27:D27"/>
    <mergeCell ref="E27:F27"/>
    <mergeCell ref="G27:H27"/>
    <mergeCell ref="I27:J27"/>
    <mergeCell ref="M27:Y27"/>
    <mergeCell ref="C26:D26"/>
    <mergeCell ref="E26:F26"/>
    <mergeCell ref="G26:H26"/>
    <mergeCell ref="I26:J26"/>
    <mergeCell ref="M26:Y26"/>
    <mergeCell ref="C29:D29"/>
    <mergeCell ref="E29:F29"/>
    <mergeCell ref="G29:H29"/>
    <mergeCell ref="I29:J29"/>
    <mergeCell ref="M29:Y29"/>
    <mergeCell ref="C28:D28"/>
    <mergeCell ref="E28:F28"/>
    <mergeCell ref="G28:H28"/>
    <mergeCell ref="I28:J28"/>
    <mergeCell ref="M28:Y28"/>
    <mergeCell ref="C30:D30"/>
    <mergeCell ref="E30:F30"/>
    <mergeCell ref="G30:H30"/>
    <mergeCell ref="I30:J30"/>
    <mergeCell ref="M30:Y30"/>
  </mergeCells>
  <printOptions horizontalCentered="1" verticalCentered="1"/>
  <pageMargins left="0" right="0" top="0" bottom="0" header="0" footer="0"/>
  <pageSetup paperSize="9" scale="2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C3E8D4-5C2D-4CB7-9460-FF34CD58681E}">
          <x14:formula1>
            <xm:f>Sayfa1!$A$1:$A$48</xm:f>
          </x14:formula1>
          <xm:sqref>D3:E14 AC3:AD14 X3:Y14 S3:T14 N3:O14 I3:J14 AH3:AI14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D0D3D-90FB-41C4-A61F-6EDDBC9095AA}">
  <sheetPr>
    <pageSetUpPr fitToPage="1"/>
  </sheetPr>
  <dimension ref="A1:AO35"/>
  <sheetViews>
    <sheetView zoomScale="40" zoomScaleNormal="40" workbookViewId="0">
      <selection activeCell="S6" sqref="S6"/>
    </sheetView>
  </sheetViews>
  <sheetFormatPr defaultColWidth="9.109375" defaultRowHeight="14.4" x14ac:dyDescent="0.3"/>
  <cols>
    <col min="1" max="1" width="8.44140625" style="13" bestFit="1" customWidth="1"/>
    <col min="2" max="2" width="25.77734375" style="13" customWidth="1"/>
    <col min="3" max="3" width="14.5546875" style="13" bestFit="1" customWidth="1"/>
    <col min="4" max="4" width="11.21875" style="13" bestFit="1" customWidth="1"/>
    <col min="5" max="5" width="11.21875" style="13" customWidth="1"/>
    <col min="6" max="7" width="11.21875" style="13" bestFit="1" customWidth="1"/>
    <col min="8" max="8" width="11.21875" style="13" customWidth="1"/>
    <col min="9" max="10" width="11.21875" style="13" bestFit="1" customWidth="1"/>
    <col min="11" max="11" width="11.21875" style="13" customWidth="1"/>
    <col min="12" max="38" width="11.21875" style="13" bestFit="1" customWidth="1"/>
    <col min="39" max="40" width="20.77734375" style="13" customWidth="1"/>
    <col min="41" max="41" width="40.77734375" style="13" customWidth="1"/>
    <col min="42" max="16384" width="9.109375" style="13"/>
  </cols>
  <sheetData>
    <row r="1" spans="1:41" s="7" customFormat="1" ht="25.5" customHeight="1" thickTop="1" thickBot="1" x14ac:dyDescent="0.35">
      <c r="A1" s="47" t="s">
        <v>0</v>
      </c>
      <c r="B1" s="49" t="s">
        <v>4</v>
      </c>
      <c r="C1" s="51" t="s">
        <v>1</v>
      </c>
      <c r="D1" s="53">
        <v>46307</v>
      </c>
      <c r="E1" s="54"/>
      <c r="F1" s="54"/>
      <c r="G1" s="54"/>
      <c r="H1" s="55"/>
      <c r="I1" s="53">
        <f>D1+1</f>
        <v>46308</v>
      </c>
      <c r="J1" s="54"/>
      <c r="K1" s="54"/>
      <c r="L1" s="54"/>
      <c r="M1" s="55"/>
      <c r="N1" s="53">
        <f>I1+1</f>
        <v>46309</v>
      </c>
      <c r="O1" s="54"/>
      <c r="P1" s="54"/>
      <c r="Q1" s="54"/>
      <c r="R1" s="55"/>
      <c r="S1" s="53">
        <f>N1+1</f>
        <v>46310</v>
      </c>
      <c r="T1" s="54"/>
      <c r="U1" s="54"/>
      <c r="V1" s="54"/>
      <c r="W1" s="55"/>
      <c r="X1" s="53">
        <f>S1+1</f>
        <v>46311</v>
      </c>
      <c r="Y1" s="54"/>
      <c r="Z1" s="54"/>
      <c r="AA1" s="54"/>
      <c r="AB1" s="55"/>
      <c r="AC1" s="53">
        <f>X1+1</f>
        <v>46312</v>
      </c>
      <c r="AD1" s="54"/>
      <c r="AE1" s="54"/>
      <c r="AF1" s="54"/>
      <c r="AG1" s="55"/>
      <c r="AH1" s="53">
        <f>AC1+1</f>
        <v>46313</v>
      </c>
      <c r="AI1" s="54"/>
      <c r="AJ1" s="54"/>
      <c r="AK1" s="54"/>
      <c r="AL1" s="55"/>
      <c r="AM1" s="56" t="s">
        <v>12</v>
      </c>
      <c r="AN1" s="57"/>
      <c r="AO1" s="45" t="s">
        <v>19</v>
      </c>
    </row>
    <row r="2" spans="1:41" ht="41.4" customHeight="1" thickBot="1" x14ac:dyDescent="0.35">
      <c r="A2" s="48"/>
      <c r="B2" s="50"/>
      <c r="C2" s="52"/>
      <c r="D2" s="8" t="s">
        <v>2</v>
      </c>
      <c r="E2" s="9" t="s">
        <v>3</v>
      </c>
      <c r="F2" s="10" t="s">
        <v>7</v>
      </c>
      <c r="G2" s="10" t="s">
        <v>6</v>
      </c>
      <c r="H2" s="11" t="s">
        <v>8</v>
      </c>
      <c r="I2" s="8" t="s">
        <v>2</v>
      </c>
      <c r="J2" s="9" t="s">
        <v>3</v>
      </c>
      <c r="K2" s="10" t="s">
        <v>7</v>
      </c>
      <c r="L2" s="10" t="s">
        <v>6</v>
      </c>
      <c r="M2" s="11" t="s">
        <v>8</v>
      </c>
      <c r="N2" s="8" t="s">
        <v>2</v>
      </c>
      <c r="O2" s="9" t="s">
        <v>3</v>
      </c>
      <c r="P2" s="10" t="s">
        <v>7</v>
      </c>
      <c r="Q2" s="10" t="s">
        <v>6</v>
      </c>
      <c r="R2" s="11" t="s">
        <v>8</v>
      </c>
      <c r="S2" s="8" t="s">
        <v>2</v>
      </c>
      <c r="T2" s="9" t="s">
        <v>3</v>
      </c>
      <c r="U2" s="10" t="s">
        <v>7</v>
      </c>
      <c r="V2" s="10" t="s">
        <v>6</v>
      </c>
      <c r="W2" s="11" t="s">
        <v>8</v>
      </c>
      <c r="X2" s="8" t="s">
        <v>2</v>
      </c>
      <c r="Y2" s="9" t="s">
        <v>3</v>
      </c>
      <c r="Z2" s="10" t="s">
        <v>7</v>
      </c>
      <c r="AA2" s="10" t="s">
        <v>6</v>
      </c>
      <c r="AB2" s="11" t="s">
        <v>8</v>
      </c>
      <c r="AC2" s="8" t="s">
        <v>2</v>
      </c>
      <c r="AD2" s="9" t="s">
        <v>3</v>
      </c>
      <c r="AE2" s="10" t="s">
        <v>7</v>
      </c>
      <c r="AF2" s="10" t="s">
        <v>6</v>
      </c>
      <c r="AG2" s="11" t="s">
        <v>8</v>
      </c>
      <c r="AH2" s="8" t="s">
        <v>2</v>
      </c>
      <c r="AI2" s="9" t="s">
        <v>3</v>
      </c>
      <c r="AJ2" s="10" t="s">
        <v>7</v>
      </c>
      <c r="AK2" s="10" t="s">
        <v>6</v>
      </c>
      <c r="AL2" s="11" t="s">
        <v>8</v>
      </c>
      <c r="AM2" s="12" t="s">
        <v>10</v>
      </c>
      <c r="AN2" s="11" t="s">
        <v>11</v>
      </c>
      <c r="AO2" s="46"/>
    </row>
    <row r="3" spans="1:41" ht="48" customHeight="1" thickBot="1" x14ac:dyDescent="0.35">
      <c r="A3" s="22">
        <v>1</v>
      </c>
      <c r="B3" s="1" t="s">
        <v>32</v>
      </c>
      <c r="C3" s="2" t="s">
        <v>5</v>
      </c>
      <c r="D3" s="4">
        <v>0.39583333333333298</v>
      </c>
      <c r="E3" s="5">
        <v>0.72916666666666696</v>
      </c>
      <c r="F3" s="14">
        <f>E3-D3</f>
        <v>0.33333333333333398</v>
      </c>
      <c r="G3" s="15">
        <f>IFERROR(VLOOKUP(F3,Sayfa1!C:D,2,TRUE),"")</f>
        <v>4.1666666666666664E-2</v>
      </c>
      <c r="H3" s="16">
        <f t="shared" ref="H3:H14" si="0">IFERROR(F3-G3,"")</f>
        <v>0.2916666666666673</v>
      </c>
      <c r="I3" s="4">
        <v>0</v>
      </c>
      <c r="J3" s="5">
        <v>0</v>
      </c>
      <c r="K3" s="14">
        <f>J3-I3</f>
        <v>0</v>
      </c>
      <c r="L3" s="15">
        <f>IFERROR(VLOOKUP(K3,Sayfa1!C:D,2,TRUE),"")</f>
        <v>0</v>
      </c>
      <c r="M3" s="16">
        <f t="shared" ref="M3:M14" si="1">IFERROR(K3-L3,"")</f>
        <v>0</v>
      </c>
      <c r="N3" s="4">
        <v>0.58333333333333304</v>
      </c>
      <c r="O3" s="5">
        <v>0.91666666666666696</v>
      </c>
      <c r="P3" s="14">
        <f>O3-N3</f>
        <v>0.33333333333333393</v>
      </c>
      <c r="Q3" s="15">
        <f>IFERROR(VLOOKUP(P3,Sayfa1!C:D,2,TRUE),"")</f>
        <v>4.1666666666666664E-2</v>
      </c>
      <c r="R3" s="16">
        <f t="shared" ref="R3:R14" si="2">IFERROR(P3-Q3,"")</f>
        <v>0.29166666666666724</v>
      </c>
      <c r="S3" s="4">
        <v>0.39583333333333298</v>
      </c>
      <c r="T3" s="5">
        <v>0.91666666666666696</v>
      </c>
      <c r="U3" s="14">
        <f>T3-S3</f>
        <v>0.52083333333333393</v>
      </c>
      <c r="V3" s="15">
        <f>IFERROR(VLOOKUP(U3,Sayfa1!C:D,2,TRUE),"")</f>
        <v>8.3333333333333329E-2</v>
      </c>
      <c r="W3" s="16">
        <f t="shared" ref="W3:W14" si="3">IFERROR(U3-V3,"")</f>
        <v>0.43750000000000061</v>
      </c>
      <c r="X3" s="4">
        <v>0.39583333333333298</v>
      </c>
      <c r="Y3" s="5">
        <v>0.72916666666666696</v>
      </c>
      <c r="Z3" s="14">
        <f>Y3-X3</f>
        <v>0.33333333333333398</v>
      </c>
      <c r="AA3" s="15">
        <f>IFERROR(VLOOKUP(Z3,Sayfa1!C:D,2,TRUE),"")</f>
        <v>4.1666666666666664E-2</v>
      </c>
      <c r="AB3" s="16">
        <f t="shared" ref="AB3:AB14" si="4">IFERROR(Z3-AA3,"")</f>
        <v>0.2916666666666673</v>
      </c>
      <c r="AC3" s="4">
        <v>0.60416666666666696</v>
      </c>
      <c r="AD3" s="5">
        <v>0.91666666666666696</v>
      </c>
      <c r="AE3" s="14">
        <f>AD3-AC3</f>
        <v>0.3125</v>
      </c>
      <c r="AF3" s="15">
        <f>IFERROR(VLOOKUP(AE3,Sayfa1!C:D,2,TRUE),"")</f>
        <v>4.1666666666666664E-2</v>
      </c>
      <c r="AG3" s="16">
        <f t="shared" ref="AG3:AG14" si="5">IFERROR(AE3-AF3,"")</f>
        <v>0.27083333333333331</v>
      </c>
      <c r="AH3" s="4">
        <v>0.39583333333333298</v>
      </c>
      <c r="AI3" s="5">
        <v>0.75</v>
      </c>
      <c r="AJ3" s="14">
        <f>AI3-AH3</f>
        <v>0.35416666666666702</v>
      </c>
      <c r="AK3" s="15">
        <f>IFERROR(VLOOKUP(AJ3,Sayfa1!C:D,2,TRUE),"")</f>
        <v>6.25E-2</v>
      </c>
      <c r="AL3" s="16">
        <f>IFERROR(AJ3-AK3,"")</f>
        <v>0.29166666666666702</v>
      </c>
      <c r="AM3" s="17">
        <f>IFERROR(H3+M3+R3+W3+AB3+AG3+AL3,"")</f>
        <v>1.8750000000000029</v>
      </c>
      <c r="AN3" s="18">
        <f>IFERROR(AM3-(Sayfa1!$I$1/24),"")</f>
        <v>2.886579864025407E-15</v>
      </c>
      <c r="AO3" s="29"/>
    </row>
    <row r="4" spans="1:41" ht="48" customHeight="1" thickBot="1" x14ac:dyDescent="0.35">
      <c r="A4" s="22">
        <v>2</v>
      </c>
      <c r="B4" s="1" t="s">
        <v>33</v>
      </c>
      <c r="C4" s="2" t="s">
        <v>31</v>
      </c>
      <c r="D4" s="4">
        <v>0.58333333333333304</v>
      </c>
      <c r="E4" s="5">
        <v>0.91666666666666696</v>
      </c>
      <c r="F4" s="14">
        <f t="shared" ref="F4:F14" si="6">E4-D4</f>
        <v>0.33333333333333393</v>
      </c>
      <c r="G4" s="15">
        <f>IFERROR(VLOOKUP(F4,Sayfa1!C:D,2,TRUE),"")</f>
        <v>4.1666666666666664E-2</v>
      </c>
      <c r="H4" s="16">
        <f t="shared" si="0"/>
        <v>0.29166666666666724</v>
      </c>
      <c r="I4" s="4">
        <v>0.39583333333333298</v>
      </c>
      <c r="J4" s="5">
        <v>0.91666666666666696</v>
      </c>
      <c r="K4" s="14">
        <f t="shared" ref="K4:K14" si="7">J4-I4</f>
        <v>0.52083333333333393</v>
      </c>
      <c r="L4" s="15">
        <f>IFERROR(VLOOKUP(K4,Sayfa1!C:D,2,TRUE),"")</f>
        <v>8.3333333333333329E-2</v>
      </c>
      <c r="M4" s="16">
        <f t="shared" si="1"/>
        <v>0.43750000000000061</v>
      </c>
      <c r="N4" s="4">
        <v>0.39583333333333298</v>
      </c>
      <c r="O4" s="5">
        <v>0.72916666666666696</v>
      </c>
      <c r="P4" s="14">
        <f t="shared" ref="P4:P14" si="8">O4-N4</f>
        <v>0.33333333333333398</v>
      </c>
      <c r="Q4" s="15">
        <f>IFERROR(VLOOKUP(P4,Sayfa1!C:D,2,TRUE),"")</f>
        <v>4.1666666666666664E-2</v>
      </c>
      <c r="R4" s="16">
        <f t="shared" si="2"/>
        <v>0.2916666666666673</v>
      </c>
      <c r="S4" s="4">
        <v>0</v>
      </c>
      <c r="T4" s="5">
        <v>0</v>
      </c>
      <c r="U4" s="14">
        <f t="shared" ref="U4:U14" si="9">T4-S4</f>
        <v>0</v>
      </c>
      <c r="V4" s="15">
        <f>IFERROR(VLOOKUP(U4,Sayfa1!C:D,2,TRUE),"")</f>
        <v>0</v>
      </c>
      <c r="W4" s="16">
        <f t="shared" si="3"/>
        <v>0</v>
      </c>
      <c r="X4" s="4">
        <v>0.58333333333333304</v>
      </c>
      <c r="Y4" s="5">
        <v>0.91666666666666696</v>
      </c>
      <c r="Z4" s="14">
        <f t="shared" ref="Z4:Z14" si="10">Y4-X4</f>
        <v>0.33333333333333393</v>
      </c>
      <c r="AA4" s="15">
        <f>IFERROR(VLOOKUP(Z4,Sayfa1!C:D,2,TRUE),"")</f>
        <v>4.1666666666666664E-2</v>
      </c>
      <c r="AB4" s="16">
        <f t="shared" si="4"/>
        <v>0.29166666666666724</v>
      </c>
      <c r="AC4" s="4">
        <v>0.39583333333333298</v>
      </c>
      <c r="AD4" s="5">
        <v>0.75</v>
      </c>
      <c r="AE4" s="14">
        <f t="shared" ref="AE4:AE14" si="11">AD4-AC4</f>
        <v>0.35416666666666702</v>
      </c>
      <c r="AF4" s="15">
        <f>IFERROR(VLOOKUP(AE4,Sayfa1!C:D,2,TRUE),"")</f>
        <v>6.25E-2</v>
      </c>
      <c r="AG4" s="16">
        <f t="shared" si="5"/>
        <v>0.29166666666666702</v>
      </c>
      <c r="AH4" s="4">
        <v>0.60416666666666696</v>
      </c>
      <c r="AI4" s="5">
        <v>0.91666666666666696</v>
      </c>
      <c r="AJ4" s="14">
        <f t="shared" ref="AJ4:AJ14" si="12">AI4-AH4</f>
        <v>0.3125</v>
      </c>
      <c r="AK4" s="15">
        <f>IFERROR(VLOOKUP(AJ4,Sayfa1!C:D,2,TRUE),"")</f>
        <v>4.1666666666666664E-2</v>
      </c>
      <c r="AL4" s="16">
        <f t="shared" ref="AL4:AL14" si="13">IFERROR(AJ4-AK4,"")</f>
        <v>0.27083333333333331</v>
      </c>
      <c r="AM4" s="17">
        <f t="shared" ref="AM4:AM14" si="14">IFERROR(H4+M4+R4+W4+AB4+AG4+AL4,"")</f>
        <v>1.8750000000000027</v>
      </c>
      <c r="AN4" s="18">
        <f>IFERROR(AM4-(Sayfa1!$I$1/24),"")</f>
        <v>2.6645352591003757E-15</v>
      </c>
      <c r="AO4" s="29"/>
    </row>
    <row r="5" spans="1:41" ht="48" customHeight="1" thickBot="1" x14ac:dyDescent="0.35">
      <c r="A5" s="22">
        <v>3</v>
      </c>
      <c r="B5" s="1" t="s">
        <v>34</v>
      </c>
      <c r="C5" s="2" t="s">
        <v>13</v>
      </c>
      <c r="D5" s="4">
        <v>0.58333333333333304</v>
      </c>
      <c r="E5" s="5">
        <v>0.91666666666666696</v>
      </c>
      <c r="F5" s="14">
        <f t="shared" si="6"/>
        <v>0.33333333333333393</v>
      </c>
      <c r="G5" s="15">
        <f>IFERROR(VLOOKUP(F5,Sayfa1!C:D,2,TRUE),"")</f>
        <v>4.1666666666666664E-2</v>
      </c>
      <c r="H5" s="16">
        <f t="shared" si="0"/>
        <v>0.29166666666666724</v>
      </c>
      <c r="I5" s="4">
        <v>0.39583333333333298</v>
      </c>
      <c r="J5" s="5">
        <v>0.72916666666666696</v>
      </c>
      <c r="K5" s="14">
        <f t="shared" si="7"/>
        <v>0.33333333333333398</v>
      </c>
      <c r="L5" s="15">
        <f>IFERROR(VLOOKUP(K5,Sayfa1!C:D,2,TRUE),"")</f>
        <v>4.1666666666666664E-2</v>
      </c>
      <c r="M5" s="16">
        <f t="shared" si="1"/>
        <v>0.2916666666666673</v>
      </c>
      <c r="N5" s="4">
        <v>0</v>
      </c>
      <c r="O5" s="5">
        <v>0</v>
      </c>
      <c r="P5" s="14">
        <f t="shared" si="8"/>
        <v>0</v>
      </c>
      <c r="Q5" s="15">
        <f>IFERROR(VLOOKUP(P5,Sayfa1!C:D,2,TRUE),"")</f>
        <v>0</v>
      </c>
      <c r="R5" s="16">
        <f t="shared" si="2"/>
        <v>0</v>
      </c>
      <c r="S5" s="4">
        <v>0.58333333333333304</v>
      </c>
      <c r="T5" s="5">
        <v>0.91666666666666696</v>
      </c>
      <c r="U5" s="14">
        <f t="shared" si="9"/>
        <v>0.33333333333333393</v>
      </c>
      <c r="V5" s="15">
        <f>IFERROR(VLOOKUP(U5,Sayfa1!C:D,2,TRUE),"")</f>
        <v>4.1666666666666664E-2</v>
      </c>
      <c r="W5" s="16">
        <f t="shared" si="3"/>
        <v>0.29166666666666724</v>
      </c>
      <c r="X5" s="4">
        <v>0.39583333333333298</v>
      </c>
      <c r="Y5" s="5">
        <v>0.91666666666666696</v>
      </c>
      <c r="Z5" s="14">
        <f t="shared" si="10"/>
        <v>0.52083333333333393</v>
      </c>
      <c r="AA5" s="15">
        <f>IFERROR(VLOOKUP(Z5,Sayfa1!C:D,2,TRUE),"")</f>
        <v>8.3333333333333329E-2</v>
      </c>
      <c r="AB5" s="16">
        <f t="shared" si="4"/>
        <v>0.43750000000000061</v>
      </c>
      <c r="AC5" s="4">
        <v>0.5</v>
      </c>
      <c r="AD5" s="5">
        <v>0.83333333333333304</v>
      </c>
      <c r="AE5" s="14">
        <f t="shared" si="11"/>
        <v>0.33333333333333304</v>
      </c>
      <c r="AF5" s="15">
        <f>IFERROR(VLOOKUP(AE5,Sayfa1!C:D,2,TRUE),"")</f>
        <v>4.1666666666666664E-2</v>
      </c>
      <c r="AG5" s="16">
        <f t="shared" si="5"/>
        <v>0.29166666666666635</v>
      </c>
      <c r="AH5" s="4">
        <v>0.60416666666666696</v>
      </c>
      <c r="AI5" s="5">
        <v>0.91666666666666696</v>
      </c>
      <c r="AJ5" s="14">
        <f t="shared" si="12"/>
        <v>0.3125</v>
      </c>
      <c r="AK5" s="15">
        <f>IFERROR(VLOOKUP(AJ5,Sayfa1!C:D,2,TRUE),"")</f>
        <v>4.1666666666666664E-2</v>
      </c>
      <c r="AL5" s="16">
        <f t="shared" si="13"/>
        <v>0.27083333333333331</v>
      </c>
      <c r="AM5" s="17">
        <f t="shared" si="14"/>
        <v>1.875000000000002</v>
      </c>
      <c r="AN5" s="18">
        <f>IFERROR(AM5-(Sayfa1!$I$1/24),"")</f>
        <v>1.9984014443252818E-15</v>
      </c>
      <c r="AO5" s="29"/>
    </row>
    <row r="6" spans="1:41" ht="48" customHeight="1" thickBot="1" x14ac:dyDescent="0.35">
      <c r="A6" s="22">
        <v>4</v>
      </c>
      <c r="B6" s="1" t="s">
        <v>35</v>
      </c>
      <c r="C6" s="2" t="s">
        <v>13</v>
      </c>
      <c r="D6" s="4">
        <v>0</v>
      </c>
      <c r="E6" s="5">
        <v>0</v>
      </c>
      <c r="F6" s="14">
        <f t="shared" si="6"/>
        <v>0</v>
      </c>
      <c r="G6" s="15">
        <f>IFERROR(VLOOKUP(F6,Sayfa1!C:D,2,TRUE),"")</f>
        <v>0</v>
      </c>
      <c r="H6" s="16">
        <f t="shared" si="0"/>
        <v>0</v>
      </c>
      <c r="I6" s="4">
        <v>0.58333333333333304</v>
      </c>
      <c r="J6" s="5">
        <v>0.91666666666666696</v>
      </c>
      <c r="K6" s="14">
        <f t="shared" si="7"/>
        <v>0.33333333333333393</v>
      </c>
      <c r="L6" s="15">
        <f>IFERROR(VLOOKUP(K6,Sayfa1!C:D,2,TRUE),"")</f>
        <v>4.1666666666666664E-2</v>
      </c>
      <c r="M6" s="16">
        <f t="shared" si="1"/>
        <v>0.29166666666666724</v>
      </c>
      <c r="N6" s="4">
        <v>0.39583333333333298</v>
      </c>
      <c r="O6" s="5">
        <v>0.91666666666666696</v>
      </c>
      <c r="P6" s="14">
        <f t="shared" si="8"/>
        <v>0.52083333333333393</v>
      </c>
      <c r="Q6" s="15">
        <f>IFERROR(VLOOKUP(P6,Sayfa1!C:D,2,TRUE),"")</f>
        <v>8.3333333333333329E-2</v>
      </c>
      <c r="R6" s="16">
        <f t="shared" si="2"/>
        <v>0.43750000000000061</v>
      </c>
      <c r="S6" s="4">
        <v>0</v>
      </c>
      <c r="T6" s="5">
        <v>0</v>
      </c>
      <c r="U6" s="14">
        <f t="shared" si="9"/>
        <v>0</v>
      </c>
      <c r="V6" s="15">
        <f>IFERROR(VLOOKUP(U6,Sayfa1!C:D,2,TRUE),"")</f>
        <v>0</v>
      </c>
      <c r="W6" s="16">
        <f t="shared" si="3"/>
        <v>0</v>
      </c>
      <c r="X6" s="4">
        <v>0.5</v>
      </c>
      <c r="Y6" s="5">
        <v>0.83333333333333304</v>
      </c>
      <c r="Z6" s="14">
        <f t="shared" si="10"/>
        <v>0.33333333333333304</v>
      </c>
      <c r="AA6" s="15">
        <f>IFERROR(VLOOKUP(Z6,Sayfa1!C:D,2,TRUE),"")</f>
        <v>4.1666666666666664E-2</v>
      </c>
      <c r="AB6" s="16">
        <f t="shared" si="4"/>
        <v>0.29166666666666635</v>
      </c>
      <c r="AC6" s="4">
        <v>0.60416666666666696</v>
      </c>
      <c r="AD6" s="5">
        <v>0.91666666666666696</v>
      </c>
      <c r="AE6" s="14">
        <f t="shared" si="11"/>
        <v>0.3125</v>
      </c>
      <c r="AF6" s="15">
        <f>IFERROR(VLOOKUP(AE6,Sayfa1!C:D,2,TRUE),"")</f>
        <v>4.1666666666666664E-2</v>
      </c>
      <c r="AG6" s="16">
        <f t="shared" si="5"/>
        <v>0.27083333333333331</v>
      </c>
      <c r="AH6" s="4">
        <v>0.39583333333333298</v>
      </c>
      <c r="AI6" s="5">
        <v>0.72916666666666696</v>
      </c>
      <c r="AJ6" s="14">
        <f t="shared" si="12"/>
        <v>0.33333333333333398</v>
      </c>
      <c r="AK6" s="15">
        <f>IFERROR(VLOOKUP(AJ6,Sayfa1!C:D,2,TRUE),"")</f>
        <v>4.1666666666666664E-2</v>
      </c>
      <c r="AL6" s="16">
        <f t="shared" si="13"/>
        <v>0.2916666666666673</v>
      </c>
      <c r="AM6" s="17">
        <f t="shared" si="14"/>
        <v>1.5833333333333348</v>
      </c>
      <c r="AN6" s="18">
        <f>IFERROR(AM6-(Sayfa1!$I$1/24),"")</f>
        <v>-0.29166666666666519</v>
      </c>
      <c r="AO6" s="29"/>
    </row>
    <row r="7" spans="1:41" ht="48" customHeight="1" thickBot="1" x14ac:dyDescent="0.35">
      <c r="A7" s="22">
        <v>5</v>
      </c>
      <c r="B7" s="1" t="s">
        <v>38</v>
      </c>
      <c r="C7" s="2" t="s">
        <v>13</v>
      </c>
      <c r="D7" s="4">
        <v>0.39583333333333298</v>
      </c>
      <c r="E7" s="5">
        <v>0.72916666666666696</v>
      </c>
      <c r="F7" s="14">
        <f t="shared" si="6"/>
        <v>0.33333333333333398</v>
      </c>
      <c r="G7" s="15">
        <f>IFERROR(VLOOKUP(F7,Sayfa1!C:D,2,TRUE),"")</f>
        <v>4.1666666666666664E-2</v>
      </c>
      <c r="H7" s="16">
        <f t="shared" si="0"/>
        <v>0.2916666666666673</v>
      </c>
      <c r="I7" s="4">
        <v>0.58333333333333304</v>
      </c>
      <c r="J7" s="5">
        <v>0.91666666666666696</v>
      </c>
      <c r="K7" s="14">
        <f t="shared" si="7"/>
        <v>0.33333333333333393</v>
      </c>
      <c r="L7" s="15">
        <f>IFERROR(VLOOKUP(K7,Sayfa1!C:D,2,TRUE),"")</f>
        <v>4.1666666666666664E-2</v>
      </c>
      <c r="M7" s="16">
        <f t="shared" si="1"/>
        <v>0.29166666666666724</v>
      </c>
      <c r="N7" s="4">
        <v>0.58333333333333304</v>
      </c>
      <c r="O7" s="5">
        <v>0.91666666666666696</v>
      </c>
      <c r="P7" s="14">
        <f t="shared" si="8"/>
        <v>0.33333333333333393</v>
      </c>
      <c r="Q7" s="15">
        <f>IFERROR(VLOOKUP(P7,Sayfa1!C:D,2,TRUE),"")</f>
        <v>4.1666666666666664E-2</v>
      </c>
      <c r="R7" s="16">
        <f t="shared" si="2"/>
        <v>0.29166666666666724</v>
      </c>
      <c r="S7" s="4">
        <v>0.39583333333333298</v>
      </c>
      <c r="T7" s="5">
        <v>0.72916666666666696</v>
      </c>
      <c r="U7" s="14">
        <f t="shared" si="9"/>
        <v>0.33333333333333398</v>
      </c>
      <c r="V7" s="15">
        <f>IFERROR(VLOOKUP(U7,Sayfa1!C:D,2,TRUE),"")</f>
        <v>4.1666666666666664E-2</v>
      </c>
      <c r="W7" s="16">
        <f t="shared" si="3"/>
        <v>0.2916666666666673</v>
      </c>
      <c r="X7" s="4">
        <v>0</v>
      </c>
      <c r="Y7" s="5">
        <v>0</v>
      </c>
      <c r="Z7" s="14">
        <f t="shared" si="10"/>
        <v>0</v>
      </c>
      <c r="AA7" s="15">
        <f>IFERROR(VLOOKUP(Z7,Sayfa1!C:D,2,TRUE),"")</f>
        <v>0</v>
      </c>
      <c r="AB7" s="16">
        <f t="shared" si="4"/>
        <v>0</v>
      </c>
      <c r="AC7" s="4">
        <v>0.60416666666666696</v>
      </c>
      <c r="AD7" s="5">
        <v>0.91666666666666696</v>
      </c>
      <c r="AE7" s="14">
        <f t="shared" si="11"/>
        <v>0.3125</v>
      </c>
      <c r="AF7" s="15">
        <f>IFERROR(VLOOKUP(AE7,Sayfa1!C:D,2,TRUE),"")</f>
        <v>4.1666666666666664E-2</v>
      </c>
      <c r="AG7" s="16">
        <f t="shared" si="5"/>
        <v>0.27083333333333331</v>
      </c>
      <c r="AH7" s="4">
        <v>0.39583333333333298</v>
      </c>
      <c r="AI7" s="5">
        <v>0.91666666666666696</v>
      </c>
      <c r="AJ7" s="14">
        <f t="shared" si="12"/>
        <v>0.52083333333333393</v>
      </c>
      <c r="AK7" s="15">
        <f>IFERROR(VLOOKUP(AJ7,Sayfa1!C:D,2,TRUE),"")</f>
        <v>8.3333333333333329E-2</v>
      </c>
      <c r="AL7" s="16">
        <f t="shared" si="13"/>
        <v>0.43750000000000061</v>
      </c>
      <c r="AM7" s="17">
        <f t="shared" si="14"/>
        <v>1.8750000000000031</v>
      </c>
      <c r="AN7" s="18">
        <f>IFERROR(AM7-(Sayfa1!$I$1/24),"")</f>
        <v>3.1086244689504383E-15</v>
      </c>
      <c r="AO7" s="29"/>
    </row>
    <row r="8" spans="1:41" ht="48" customHeight="1" thickBot="1" x14ac:dyDescent="0.35">
      <c r="A8" s="22">
        <v>6</v>
      </c>
      <c r="B8" s="1" t="s">
        <v>39</v>
      </c>
      <c r="C8" s="2" t="s">
        <v>13</v>
      </c>
      <c r="D8" s="4">
        <v>0.58333333333333304</v>
      </c>
      <c r="E8" s="5">
        <v>0.91666666666666696</v>
      </c>
      <c r="F8" s="14">
        <f t="shared" si="6"/>
        <v>0.33333333333333393</v>
      </c>
      <c r="G8" s="15">
        <f>IFERROR(VLOOKUP(F8,Sayfa1!C:D,2,TRUE),"")</f>
        <v>4.1666666666666664E-2</v>
      </c>
      <c r="H8" s="16">
        <f t="shared" si="0"/>
        <v>0.29166666666666724</v>
      </c>
      <c r="I8" s="4">
        <v>0.5</v>
      </c>
      <c r="J8" s="5">
        <v>0.83333333333333304</v>
      </c>
      <c r="K8" s="14">
        <f t="shared" si="7"/>
        <v>0.33333333333333304</v>
      </c>
      <c r="L8" s="15">
        <f>IFERROR(VLOOKUP(K8,Sayfa1!C:D,2,TRUE),"")</f>
        <v>4.1666666666666664E-2</v>
      </c>
      <c r="M8" s="16">
        <f t="shared" si="1"/>
        <v>0.29166666666666635</v>
      </c>
      <c r="N8" s="4">
        <v>0.39583333333333298</v>
      </c>
      <c r="O8" s="5">
        <v>0.72916666666666696</v>
      </c>
      <c r="P8" s="14">
        <f t="shared" si="8"/>
        <v>0.33333333333333398</v>
      </c>
      <c r="Q8" s="15">
        <f>IFERROR(VLOOKUP(P8,Sayfa1!C:D,2,TRUE),"")</f>
        <v>4.1666666666666664E-2</v>
      </c>
      <c r="R8" s="16">
        <f t="shared" si="2"/>
        <v>0.2916666666666673</v>
      </c>
      <c r="S8" s="4">
        <v>0</v>
      </c>
      <c r="T8" s="5">
        <v>0</v>
      </c>
      <c r="U8" s="14">
        <f t="shared" si="9"/>
        <v>0</v>
      </c>
      <c r="V8" s="15">
        <f>IFERROR(VLOOKUP(U8,Sayfa1!C:D,2,TRUE),"")</f>
        <v>0</v>
      </c>
      <c r="W8" s="16">
        <f t="shared" si="3"/>
        <v>0</v>
      </c>
      <c r="X8" s="4">
        <v>0.58333333333333304</v>
      </c>
      <c r="Y8" s="5">
        <v>0.91666666666666696</v>
      </c>
      <c r="Z8" s="14">
        <f t="shared" si="10"/>
        <v>0.33333333333333393</v>
      </c>
      <c r="AA8" s="15">
        <f>IFERROR(VLOOKUP(Z8,Sayfa1!C:D,2,TRUE),"")</f>
        <v>4.1666666666666664E-2</v>
      </c>
      <c r="AB8" s="16">
        <f t="shared" si="4"/>
        <v>0.29166666666666724</v>
      </c>
      <c r="AC8" s="4">
        <v>0.39583333333333298</v>
      </c>
      <c r="AD8" s="5">
        <v>0.91666666666666696</v>
      </c>
      <c r="AE8" s="14">
        <f t="shared" si="11"/>
        <v>0.52083333333333393</v>
      </c>
      <c r="AF8" s="15">
        <f>IFERROR(VLOOKUP(AE8,Sayfa1!C:D,2,TRUE),"")</f>
        <v>8.3333333333333329E-2</v>
      </c>
      <c r="AG8" s="16">
        <f t="shared" si="5"/>
        <v>0.43750000000000061</v>
      </c>
      <c r="AH8" s="4">
        <v>0.58333333333333304</v>
      </c>
      <c r="AI8" s="5">
        <v>0.91666666666666696</v>
      </c>
      <c r="AJ8" s="14">
        <f t="shared" si="12"/>
        <v>0.33333333333333393</v>
      </c>
      <c r="AK8" s="15">
        <f>IFERROR(VLOOKUP(AJ8,Sayfa1!C:D,2,TRUE),"")</f>
        <v>4.1666666666666664E-2</v>
      </c>
      <c r="AL8" s="16">
        <f t="shared" si="13"/>
        <v>0.29166666666666724</v>
      </c>
      <c r="AM8" s="17">
        <f t="shared" si="14"/>
        <v>1.8958333333333359</v>
      </c>
      <c r="AN8" s="18">
        <f>IFERROR(AM8-(Sayfa1!$I$1/24),"")</f>
        <v>2.0833333333335924E-2</v>
      </c>
      <c r="AO8" s="29"/>
    </row>
    <row r="9" spans="1:41" ht="48" customHeight="1" thickBot="1" x14ac:dyDescent="0.35">
      <c r="A9" s="22">
        <v>7</v>
      </c>
      <c r="B9" s="1"/>
      <c r="C9" s="2" t="s">
        <v>13</v>
      </c>
      <c r="D9" s="4"/>
      <c r="E9" s="5"/>
      <c r="F9" s="14">
        <f t="shared" si="6"/>
        <v>0</v>
      </c>
      <c r="G9" s="15">
        <f>IFERROR(VLOOKUP(F9,Sayfa1!C:D,2,TRUE),"")</f>
        <v>0</v>
      </c>
      <c r="H9" s="16">
        <f t="shared" si="0"/>
        <v>0</v>
      </c>
      <c r="I9" s="4"/>
      <c r="J9" s="5"/>
      <c r="K9" s="14">
        <f t="shared" si="7"/>
        <v>0</v>
      </c>
      <c r="L9" s="15">
        <f>IFERROR(VLOOKUP(K9,Sayfa1!C:D,2,TRUE),"")</f>
        <v>0</v>
      </c>
      <c r="M9" s="16">
        <f t="shared" si="1"/>
        <v>0</v>
      </c>
      <c r="N9" s="4"/>
      <c r="O9" s="5"/>
      <c r="P9" s="14">
        <f t="shared" si="8"/>
        <v>0</v>
      </c>
      <c r="Q9" s="15">
        <f>IFERROR(VLOOKUP(P9,Sayfa1!C:D,2,TRUE),"")</f>
        <v>0</v>
      </c>
      <c r="R9" s="16">
        <f t="shared" si="2"/>
        <v>0</v>
      </c>
      <c r="S9" s="4"/>
      <c r="T9" s="5"/>
      <c r="U9" s="14">
        <f t="shared" si="9"/>
        <v>0</v>
      </c>
      <c r="V9" s="15">
        <f>IFERROR(VLOOKUP(U9,Sayfa1!C:D,2,TRUE),"")</f>
        <v>0</v>
      </c>
      <c r="W9" s="16">
        <f t="shared" si="3"/>
        <v>0</v>
      </c>
      <c r="X9" s="4"/>
      <c r="Y9" s="5"/>
      <c r="Z9" s="14">
        <f t="shared" si="10"/>
        <v>0</v>
      </c>
      <c r="AA9" s="15">
        <f>IFERROR(VLOOKUP(Z9,Sayfa1!C:D,2,TRUE),"")</f>
        <v>0</v>
      </c>
      <c r="AB9" s="16">
        <f t="shared" si="4"/>
        <v>0</v>
      </c>
      <c r="AC9" s="4"/>
      <c r="AD9" s="5"/>
      <c r="AE9" s="14">
        <f t="shared" si="11"/>
        <v>0</v>
      </c>
      <c r="AF9" s="15">
        <f>IFERROR(VLOOKUP(AE9,Sayfa1!C:D,2,TRUE),"")</f>
        <v>0</v>
      </c>
      <c r="AG9" s="16">
        <f t="shared" si="5"/>
        <v>0</v>
      </c>
      <c r="AH9" s="4"/>
      <c r="AI9" s="5"/>
      <c r="AJ9" s="14">
        <f t="shared" si="12"/>
        <v>0</v>
      </c>
      <c r="AK9" s="15">
        <f>IFERROR(VLOOKUP(AJ9,Sayfa1!C:D,2,TRUE),"")</f>
        <v>0</v>
      </c>
      <c r="AL9" s="16">
        <f t="shared" si="13"/>
        <v>0</v>
      </c>
      <c r="AM9" s="17">
        <f t="shared" si="14"/>
        <v>0</v>
      </c>
      <c r="AN9" s="18">
        <f>IFERROR(AM9-(Sayfa1!$I$1/24),"")</f>
        <v>-1.875</v>
      </c>
      <c r="AO9" s="29"/>
    </row>
    <row r="10" spans="1:41" ht="48" customHeight="1" thickBot="1" x14ac:dyDescent="0.35">
      <c r="A10" s="22">
        <v>8</v>
      </c>
      <c r="B10" s="1"/>
      <c r="C10" s="2" t="s">
        <v>13</v>
      </c>
      <c r="D10" s="4"/>
      <c r="E10" s="5"/>
      <c r="F10" s="14">
        <f t="shared" si="6"/>
        <v>0</v>
      </c>
      <c r="G10" s="15">
        <f>IFERROR(VLOOKUP(F10,Sayfa1!C:D,2,TRUE),"")</f>
        <v>0</v>
      </c>
      <c r="H10" s="16">
        <f t="shared" si="0"/>
        <v>0</v>
      </c>
      <c r="I10" s="4"/>
      <c r="J10" s="5"/>
      <c r="K10" s="14">
        <f t="shared" si="7"/>
        <v>0</v>
      </c>
      <c r="L10" s="15">
        <f>IFERROR(VLOOKUP(K10,Sayfa1!C:D,2,TRUE),"")</f>
        <v>0</v>
      </c>
      <c r="M10" s="16">
        <f t="shared" si="1"/>
        <v>0</v>
      </c>
      <c r="N10" s="4"/>
      <c r="O10" s="5"/>
      <c r="P10" s="14">
        <f t="shared" si="8"/>
        <v>0</v>
      </c>
      <c r="Q10" s="15">
        <f>IFERROR(VLOOKUP(P10,Sayfa1!C:D,2,TRUE),"")</f>
        <v>0</v>
      </c>
      <c r="R10" s="16">
        <f t="shared" si="2"/>
        <v>0</v>
      </c>
      <c r="S10" s="4"/>
      <c r="T10" s="5"/>
      <c r="U10" s="14">
        <f t="shared" si="9"/>
        <v>0</v>
      </c>
      <c r="V10" s="15">
        <f>IFERROR(VLOOKUP(U10,Sayfa1!C:D,2,TRUE),"")</f>
        <v>0</v>
      </c>
      <c r="W10" s="16">
        <f t="shared" si="3"/>
        <v>0</v>
      </c>
      <c r="X10" s="4"/>
      <c r="Y10" s="5"/>
      <c r="Z10" s="14">
        <f t="shared" si="10"/>
        <v>0</v>
      </c>
      <c r="AA10" s="15">
        <f>IFERROR(VLOOKUP(Z10,Sayfa1!C:D,2,TRUE),"")</f>
        <v>0</v>
      </c>
      <c r="AB10" s="16">
        <f t="shared" si="4"/>
        <v>0</v>
      </c>
      <c r="AC10" s="4"/>
      <c r="AD10" s="5"/>
      <c r="AE10" s="14">
        <f t="shared" si="11"/>
        <v>0</v>
      </c>
      <c r="AF10" s="15">
        <f>IFERROR(VLOOKUP(AE10,Sayfa1!C:D,2,TRUE),"")</f>
        <v>0</v>
      </c>
      <c r="AG10" s="16">
        <f t="shared" si="5"/>
        <v>0</v>
      </c>
      <c r="AH10" s="4"/>
      <c r="AI10" s="5"/>
      <c r="AJ10" s="14">
        <f t="shared" si="12"/>
        <v>0</v>
      </c>
      <c r="AK10" s="15">
        <f>IFERROR(VLOOKUP(AJ10,Sayfa1!C:D,2,TRUE),"")</f>
        <v>0</v>
      </c>
      <c r="AL10" s="16">
        <f t="shared" si="13"/>
        <v>0</v>
      </c>
      <c r="AM10" s="17">
        <f t="shared" si="14"/>
        <v>0</v>
      </c>
      <c r="AN10" s="18">
        <f>IFERROR(AM10-(Sayfa1!$I$1/24),"")</f>
        <v>-1.875</v>
      </c>
      <c r="AO10" s="29"/>
    </row>
    <row r="11" spans="1:41" ht="48" customHeight="1" thickBot="1" x14ac:dyDescent="0.35">
      <c r="A11" s="22">
        <v>9</v>
      </c>
      <c r="B11" s="1"/>
      <c r="C11" s="2" t="s">
        <v>13</v>
      </c>
      <c r="D11" s="4"/>
      <c r="E11" s="5"/>
      <c r="F11" s="14">
        <f t="shared" si="6"/>
        <v>0</v>
      </c>
      <c r="G11" s="15">
        <f>IFERROR(VLOOKUP(F11,Sayfa1!C:D,2,TRUE),"")</f>
        <v>0</v>
      </c>
      <c r="H11" s="16">
        <f t="shared" si="0"/>
        <v>0</v>
      </c>
      <c r="I11" s="4"/>
      <c r="J11" s="5"/>
      <c r="K11" s="14">
        <f t="shared" si="7"/>
        <v>0</v>
      </c>
      <c r="L11" s="15">
        <f>IFERROR(VLOOKUP(K11,Sayfa1!C:D,2,TRUE),"")</f>
        <v>0</v>
      </c>
      <c r="M11" s="16">
        <f t="shared" si="1"/>
        <v>0</v>
      </c>
      <c r="N11" s="4"/>
      <c r="O11" s="5"/>
      <c r="P11" s="14">
        <f t="shared" si="8"/>
        <v>0</v>
      </c>
      <c r="Q11" s="15">
        <f>IFERROR(VLOOKUP(P11,Sayfa1!C:D,2,TRUE),"")</f>
        <v>0</v>
      </c>
      <c r="R11" s="16">
        <f t="shared" si="2"/>
        <v>0</v>
      </c>
      <c r="S11" s="4"/>
      <c r="T11" s="5"/>
      <c r="U11" s="14">
        <f t="shared" si="9"/>
        <v>0</v>
      </c>
      <c r="V11" s="15">
        <f>IFERROR(VLOOKUP(U11,Sayfa1!C:D,2,TRUE),"")</f>
        <v>0</v>
      </c>
      <c r="W11" s="16">
        <f t="shared" si="3"/>
        <v>0</v>
      </c>
      <c r="X11" s="4"/>
      <c r="Y11" s="5"/>
      <c r="Z11" s="14">
        <f t="shared" si="10"/>
        <v>0</v>
      </c>
      <c r="AA11" s="15">
        <f>IFERROR(VLOOKUP(Z11,Sayfa1!C:D,2,TRUE),"")</f>
        <v>0</v>
      </c>
      <c r="AB11" s="16">
        <f t="shared" si="4"/>
        <v>0</v>
      </c>
      <c r="AC11" s="4"/>
      <c r="AD11" s="5"/>
      <c r="AE11" s="14">
        <f t="shared" si="11"/>
        <v>0</v>
      </c>
      <c r="AF11" s="15">
        <f>IFERROR(VLOOKUP(AE11,Sayfa1!C:D,2,TRUE),"")</f>
        <v>0</v>
      </c>
      <c r="AG11" s="16">
        <f t="shared" si="5"/>
        <v>0</v>
      </c>
      <c r="AH11" s="4"/>
      <c r="AI11" s="5"/>
      <c r="AJ11" s="14">
        <f t="shared" si="12"/>
        <v>0</v>
      </c>
      <c r="AK11" s="15">
        <f>IFERROR(VLOOKUP(AJ11,Sayfa1!C:D,2,TRUE),"")</f>
        <v>0</v>
      </c>
      <c r="AL11" s="16">
        <f t="shared" si="13"/>
        <v>0</v>
      </c>
      <c r="AM11" s="17">
        <f t="shared" si="14"/>
        <v>0</v>
      </c>
      <c r="AN11" s="18">
        <f>IFERROR(AM11-(Sayfa1!$I$1/24),"")</f>
        <v>-1.875</v>
      </c>
      <c r="AO11" s="29"/>
    </row>
    <row r="12" spans="1:41" ht="48" customHeight="1" thickBot="1" x14ac:dyDescent="0.35">
      <c r="A12" s="22">
        <v>10</v>
      </c>
      <c r="B12" s="1"/>
      <c r="C12" s="2" t="s">
        <v>13</v>
      </c>
      <c r="D12" s="4"/>
      <c r="E12" s="5"/>
      <c r="F12" s="14">
        <f t="shared" si="6"/>
        <v>0</v>
      </c>
      <c r="G12" s="15">
        <f>IFERROR(VLOOKUP(F12,Sayfa1!C:D,2,TRUE),"")</f>
        <v>0</v>
      </c>
      <c r="H12" s="16">
        <f t="shared" si="0"/>
        <v>0</v>
      </c>
      <c r="I12" s="4"/>
      <c r="J12" s="5"/>
      <c r="K12" s="14">
        <f t="shared" si="7"/>
        <v>0</v>
      </c>
      <c r="L12" s="15">
        <f>IFERROR(VLOOKUP(K12,Sayfa1!C:D,2,TRUE),"")</f>
        <v>0</v>
      </c>
      <c r="M12" s="16">
        <f t="shared" si="1"/>
        <v>0</v>
      </c>
      <c r="N12" s="4"/>
      <c r="O12" s="5"/>
      <c r="P12" s="14">
        <f t="shared" si="8"/>
        <v>0</v>
      </c>
      <c r="Q12" s="15">
        <f>IFERROR(VLOOKUP(P12,Sayfa1!C:D,2,TRUE),"")</f>
        <v>0</v>
      </c>
      <c r="R12" s="16">
        <f t="shared" si="2"/>
        <v>0</v>
      </c>
      <c r="S12" s="4"/>
      <c r="T12" s="5"/>
      <c r="U12" s="14">
        <f t="shared" si="9"/>
        <v>0</v>
      </c>
      <c r="V12" s="15">
        <f>IFERROR(VLOOKUP(U12,Sayfa1!C:D,2,TRUE),"")</f>
        <v>0</v>
      </c>
      <c r="W12" s="16">
        <f t="shared" si="3"/>
        <v>0</v>
      </c>
      <c r="X12" s="4"/>
      <c r="Y12" s="5"/>
      <c r="Z12" s="14">
        <f t="shared" si="10"/>
        <v>0</v>
      </c>
      <c r="AA12" s="15">
        <f>IFERROR(VLOOKUP(Z12,Sayfa1!C:D,2,TRUE),"")</f>
        <v>0</v>
      </c>
      <c r="AB12" s="16">
        <f t="shared" si="4"/>
        <v>0</v>
      </c>
      <c r="AC12" s="4"/>
      <c r="AD12" s="5"/>
      <c r="AE12" s="14">
        <f t="shared" si="11"/>
        <v>0</v>
      </c>
      <c r="AF12" s="15">
        <f>IFERROR(VLOOKUP(AE12,Sayfa1!C:D,2,TRUE),"")</f>
        <v>0</v>
      </c>
      <c r="AG12" s="16">
        <f t="shared" si="5"/>
        <v>0</v>
      </c>
      <c r="AH12" s="4"/>
      <c r="AI12" s="5"/>
      <c r="AJ12" s="14">
        <f t="shared" si="12"/>
        <v>0</v>
      </c>
      <c r="AK12" s="15">
        <f>IFERROR(VLOOKUP(AJ12,Sayfa1!C:D,2,TRUE),"")</f>
        <v>0</v>
      </c>
      <c r="AL12" s="16">
        <f t="shared" si="13"/>
        <v>0</v>
      </c>
      <c r="AM12" s="17">
        <f t="shared" si="14"/>
        <v>0</v>
      </c>
      <c r="AN12" s="18">
        <f>IFERROR(AM12-(Sayfa1!$I$1/24),"")</f>
        <v>-1.875</v>
      </c>
      <c r="AO12" s="29"/>
    </row>
    <row r="13" spans="1:41" ht="48" customHeight="1" thickBot="1" x14ac:dyDescent="0.35">
      <c r="A13" s="22">
        <v>11</v>
      </c>
      <c r="B13" s="1"/>
      <c r="C13" s="2" t="s">
        <v>13</v>
      </c>
      <c r="D13" s="4"/>
      <c r="E13" s="5"/>
      <c r="F13" s="14">
        <f t="shared" si="6"/>
        <v>0</v>
      </c>
      <c r="G13" s="15">
        <f>IFERROR(VLOOKUP(F13,Sayfa1!C:D,2,TRUE),"")</f>
        <v>0</v>
      </c>
      <c r="H13" s="16">
        <f t="shared" si="0"/>
        <v>0</v>
      </c>
      <c r="I13" s="4"/>
      <c r="J13" s="5"/>
      <c r="K13" s="14">
        <f t="shared" si="7"/>
        <v>0</v>
      </c>
      <c r="L13" s="15">
        <f>IFERROR(VLOOKUP(K13,Sayfa1!C:D,2,TRUE),"")</f>
        <v>0</v>
      </c>
      <c r="M13" s="16">
        <f t="shared" si="1"/>
        <v>0</v>
      </c>
      <c r="N13" s="4"/>
      <c r="O13" s="5"/>
      <c r="P13" s="14">
        <f t="shared" si="8"/>
        <v>0</v>
      </c>
      <c r="Q13" s="15">
        <f>IFERROR(VLOOKUP(P13,Sayfa1!C:D,2,TRUE),"")</f>
        <v>0</v>
      </c>
      <c r="R13" s="16">
        <f t="shared" si="2"/>
        <v>0</v>
      </c>
      <c r="S13" s="4"/>
      <c r="T13" s="5"/>
      <c r="U13" s="14">
        <f t="shared" si="9"/>
        <v>0</v>
      </c>
      <c r="V13" s="15">
        <f>IFERROR(VLOOKUP(U13,Sayfa1!C:D,2,TRUE),"")</f>
        <v>0</v>
      </c>
      <c r="W13" s="16">
        <f t="shared" si="3"/>
        <v>0</v>
      </c>
      <c r="X13" s="4"/>
      <c r="Y13" s="5"/>
      <c r="Z13" s="14">
        <f t="shared" si="10"/>
        <v>0</v>
      </c>
      <c r="AA13" s="15">
        <f>IFERROR(VLOOKUP(Z13,Sayfa1!C:D,2,TRUE),"")</f>
        <v>0</v>
      </c>
      <c r="AB13" s="16">
        <f t="shared" si="4"/>
        <v>0</v>
      </c>
      <c r="AC13" s="4"/>
      <c r="AD13" s="5"/>
      <c r="AE13" s="14">
        <f t="shared" si="11"/>
        <v>0</v>
      </c>
      <c r="AF13" s="15">
        <f>IFERROR(VLOOKUP(AE13,Sayfa1!C:D,2,TRUE),"")</f>
        <v>0</v>
      </c>
      <c r="AG13" s="16">
        <f t="shared" si="5"/>
        <v>0</v>
      </c>
      <c r="AH13" s="4"/>
      <c r="AI13" s="5"/>
      <c r="AJ13" s="14">
        <f t="shared" si="12"/>
        <v>0</v>
      </c>
      <c r="AK13" s="15">
        <f>IFERROR(VLOOKUP(AJ13,Sayfa1!C:D,2,TRUE),"")</f>
        <v>0</v>
      </c>
      <c r="AL13" s="16">
        <f t="shared" si="13"/>
        <v>0</v>
      </c>
      <c r="AM13" s="17">
        <f t="shared" si="14"/>
        <v>0</v>
      </c>
      <c r="AN13" s="18">
        <f>IFERROR(AM13-(Sayfa1!$I$1/24),"")</f>
        <v>-1.875</v>
      </c>
      <c r="AO13" s="29"/>
    </row>
    <row r="14" spans="1:41" ht="48" customHeight="1" thickBot="1" x14ac:dyDescent="0.35">
      <c r="A14" s="23">
        <v>12</v>
      </c>
      <c r="B14" s="24"/>
      <c r="C14" s="2" t="s">
        <v>13</v>
      </c>
      <c r="D14" s="4"/>
      <c r="E14" s="5"/>
      <c r="F14" s="14">
        <f t="shared" si="6"/>
        <v>0</v>
      </c>
      <c r="G14" s="15">
        <f>IFERROR(VLOOKUP(F14,Sayfa1!C:D,2,TRUE),"")</f>
        <v>0</v>
      </c>
      <c r="H14" s="16">
        <f t="shared" si="0"/>
        <v>0</v>
      </c>
      <c r="I14" s="4"/>
      <c r="J14" s="5"/>
      <c r="K14" s="14">
        <f t="shared" si="7"/>
        <v>0</v>
      </c>
      <c r="L14" s="15">
        <f>IFERROR(VLOOKUP(K14,Sayfa1!C:D,2,TRUE),"")</f>
        <v>0</v>
      </c>
      <c r="M14" s="16">
        <f t="shared" si="1"/>
        <v>0</v>
      </c>
      <c r="N14" s="4"/>
      <c r="O14" s="5"/>
      <c r="P14" s="14">
        <f t="shared" si="8"/>
        <v>0</v>
      </c>
      <c r="Q14" s="15">
        <f>IFERROR(VLOOKUP(P14,Sayfa1!C:D,2,TRUE),"")</f>
        <v>0</v>
      </c>
      <c r="R14" s="16">
        <f t="shared" si="2"/>
        <v>0</v>
      </c>
      <c r="S14" s="4"/>
      <c r="T14" s="5"/>
      <c r="U14" s="14">
        <f t="shared" si="9"/>
        <v>0</v>
      </c>
      <c r="V14" s="15">
        <f>IFERROR(VLOOKUP(U14,Sayfa1!C:D,2,TRUE),"")</f>
        <v>0</v>
      </c>
      <c r="W14" s="16">
        <f t="shared" si="3"/>
        <v>0</v>
      </c>
      <c r="X14" s="4"/>
      <c r="Y14" s="5"/>
      <c r="Z14" s="14">
        <f t="shared" si="10"/>
        <v>0</v>
      </c>
      <c r="AA14" s="15">
        <f>IFERROR(VLOOKUP(Z14,Sayfa1!C:D,2,TRUE),"")</f>
        <v>0</v>
      </c>
      <c r="AB14" s="16">
        <f t="shared" si="4"/>
        <v>0</v>
      </c>
      <c r="AC14" s="4"/>
      <c r="AD14" s="5"/>
      <c r="AE14" s="14">
        <f t="shared" si="11"/>
        <v>0</v>
      </c>
      <c r="AF14" s="15">
        <f>IFERROR(VLOOKUP(AE14,Sayfa1!C:D,2,TRUE),"")</f>
        <v>0</v>
      </c>
      <c r="AG14" s="16">
        <f t="shared" si="5"/>
        <v>0</v>
      </c>
      <c r="AH14" s="4"/>
      <c r="AI14" s="5"/>
      <c r="AJ14" s="14">
        <f t="shared" si="12"/>
        <v>0</v>
      </c>
      <c r="AK14" s="15">
        <f>IFERROR(VLOOKUP(AJ14,Sayfa1!C:D,2,TRUE),"")</f>
        <v>0</v>
      </c>
      <c r="AL14" s="16">
        <f t="shared" si="13"/>
        <v>0</v>
      </c>
      <c r="AM14" s="17">
        <f t="shared" si="14"/>
        <v>0</v>
      </c>
      <c r="AN14" s="18">
        <f>IFERROR(AM14-(Sayfa1!$I$1/24),"")</f>
        <v>-1.875</v>
      </c>
      <c r="AO14" s="29"/>
    </row>
    <row r="15" spans="1:41" ht="15" thickTop="1" x14ac:dyDescent="0.3"/>
    <row r="19" spans="1:25" ht="15" thickBot="1" x14ac:dyDescent="0.35"/>
    <row r="20" spans="1:25" ht="55.05" customHeight="1" thickTop="1" thickBot="1" x14ac:dyDescent="0.35">
      <c r="A20" s="25" t="s">
        <v>0</v>
      </c>
      <c r="B20" s="28" t="s">
        <v>4</v>
      </c>
      <c r="C20" s="40" t="s">
        <v>18</v>
      </c>
      <c r="D20" s="40"/>
      <c r="E20" s="40" t="s">
        <v>15</v>
      </c>
      <c r="F20" s="40"/>
      <c r="G20" s="40" t="s">
        <v>16</v>
      </c>
      <c r="H20" s="40"/>
      <c r="I20" s="40" t="s">
        <v>17</v>
      </c>
      <c r="J20" s="41"/>
      <c r="L20" s="42" t="s">
        <v>20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4"/>
    </row>
    <row r="21" spans="1:25" ht="48" customHeight="1" thickBot="1" x14ac:dyDescent="0.35">
      <c r="A21" s="22">
        <v>1</v>
      </c>
      <c r="B21" s="26" t="s">
        <v>32</v>
      </c>
      <c r="C21" s="36">
        <v>63</v>
      </c>
      <c r="D21" s="36"/>
      <c r="E21" s="36">
        <v>0</v>
      </c>
      <c r="F21" s="36"/>
      <c r="G21" s="36"/>
      <c r="H21" s="36"/>
      <c r="I21" s="36">
        <v>63</v>
      </c>
      <c r="J21" s="37"/>
      <c r="L21" s="22">
        <v>1</v>
      </c>
      <c r="M21" s="38" t="s">
        <v>21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9"/>
    </row>
    <row r="22" spans="1:25" ht="48" customHeight="1" thickBot="1" x14ac:dyDescent="0.35">
      <c r="A22" s="22">
        <v>2</v>
      </c>
      <c r="B22" s="26" t="s">
        <v>40</v>
      </c>
      <c r="C22" s="36">
        <v>4</v>
      </c>
      <c r="D22" s="36"/>
      <c r="E22" s="36">
        <v>0</v>
      </c>
      <c r="F22" s="36"/>
      <c r="G22" s="36"/>
      <c r="H22" s="36"/>
      <c r="I22" s="36">
        <v>6</v>
      </c>
      <c r="J22" s="37"/>
      <c r="L22" s="22">
        <v>2</v>
      </c>
      <c r="M22" s="38" t="s">
        <v>22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9"/>
    </row>
    <row r="23" spans="1:25" ht="48" customHeight="1" thickBot="1" x14ac:dyDescent="0.35">
      <c r="A23" s="22">
        <v>3</v>
      </c>
      <c r="B23" s="26" t="s">
        <v>34</v>
      </c>
      <c r="C23" s="36" t="s">
        <v>43</v>
      </c>
      <c r="D23" s="36"/>
      <c r="E23" s="36">
        <v>0</v>
      </c>
      <c r="F23" s="36"/>
      <c r="G23" s="36"/>
      <c r="H23" s="36"/>
      <c r="I23" s="36" t="s">
        <v>43</v>
      </c>
      <c r="J23" s="37"/>
      <c r="L23" s="22">
        <v>3</v>
      </c>
      <c r="M23" s="38" t="s">
        <v>28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9"/>
    </row>
    <row r="24" spans="1:25" ht="48" customHeight="1" thickBot="1" x14ac:dyDescent="0.35">
      <c r="A24" s="22">
        <v>4</v>
      </c>
      <c r="B24" s="26" t="s">
        <v>35</v>
      </c>
      <c r="C24" s="36" t="s">
        <v>51</v>
      </c>
      <c r="D24" s="36"/>
      <c r="E24" s="36">
        <v>-7.5</v>
      </c>
      <c r="F24" s="36"/>
      <c r="G24" s="36"/>
      <c r="H24" s="36"/>
      <c r="I24" s="36" t="s">
        <v>51</v>
      </c>
      <c r="J24" s="37"/>
      <c r="L24" s="22">
        <v>4</v>
      </c>
      <c r="M24" s="38" t="s">
        <v>29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9"/>
    </row>
    <row r="25" spans="1:25" ht="48" customHeight="1" thickBot="1" x14ac:dyDescent="0.35">
      <c r="A25" s="22">
        <v>5</v>
      </c>
      <c r="B25" s="26" t="s">
        <v>38</v>
      </c>
      <c r="C25" s="36">
        <v>0</v>
      </c>
      <c r="D25" s="36"/>
      <c r="E25" s="36">
        <v>0</v>
      </c>
      <c r="F25" s="36"/>
      <c r="G25" s="36"/>
      <c r="H25" s="36"/>
      <c r="I25" s="36">
        <v>0</v>
      </c>
      <c r="J25" s="37"/>
      <c r="L25" s="22">
        <v>5</v>
      </c>
      <c r="M25" s="38" t="s">
        <v>27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9"/>
    </row>
    <row r="26" spans="1:25" ht="48" customHeight="1" thickBot="1" x14ac:dyDescent="0.35">
      <c r="A26" s="22">
        <v>6</v>
      </c>
      <c r="B26" s="26" t="s">
        <v>39</v>
      </c>
      <c r="C26" s="36">
        <v>0</v>
      </c>
      <c r="D26" s="36"/>
      <c r="E26" s="36">
        <v>0</v>
      </c>
      <c r="F26" s="36"/>
      <c r="G26" s="36"/>
      <c r="H26" s="36"/>
      <c r="I26" s="36">
        <f t="shared" ref="I26" si="15">SUM(C26:F26)</f>
        <v>0</v>
      </c>
      <c r="J26" s="37"/>
      <c r="L26" s="22">
        <v>6</v>
      </c>
      <c r="M26" s="38" t="s">
        <v>26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9"/>
    </row>
    <row r="27" spans="1:25" ht="48" customHeight="1" thickBot="1" x14ac:dyDescent="0.35">
      <c r="A27" s="22">
        <v>7</v>
      </c>
      <c r="B27" s="26"/>
      <c r="C27" s="36"/>
      <c r="D27" s="36"/>
      <c r="E27" s="36"/>
      <c r="F27" s="36"/>
      <c r="G27" s="36"/>
      <c r="H27" s="36"/>
      <c r="I27" s="36"/>
      <c r="J27" s="37"/>
      <c r="L27" s="22">
        <v>7</v>
      </c>
      <c r="M27" s="38" t="s">
        <v>24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9"/>
    </row>
    <row r="28" spans="1:25" ht="48" customHeight="1" thickBot="1" x14ac:dyDescent="0.35">
      <c r="A28" s="22">
        <v>8</v>
      </c>
      <c r="B28" s="26"/>
      <c r="C28" s="36"/>
      <c r="D28" s="36"/>
      <c r="E28" s="36"/>
      <c r="F28" s="36"/>
      <c r="G28" s="36"/>
      <c r="H28" s="36"/>
      <c r="I28" s="36"/>
      <c r="J28" s="37"/>
      <c r="L28" s="22">
        <v>8</v>
      </c>
      <c r="M28" s="38" t="s">
        <v>23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9"/>
    </row>
    <row r="29" spans="1:25" ht="48" customHeight="1" thickBot="1" x14ac:dyDescent="0.35">
      <c r="A29" s="22">
        <v>9</v>
      </c>
      <c r="B29" s="26"/>
      <c r="C29" s="36"/>
      <c r="D29" s="36"/>
      <c r="E29" s="36"/>
      <c r="F29" s="36"/>
      <c r="G29" s="36"/>
      <c r="H29" s="36"/>
      <c r="I29" s="36"/>
      <c r="J29" s="37"/>
      <c r="L29" s="22">
        <v>9</v>
      </c>
      <c r="M29" s="38" t="s">
        <v>25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9"/>
    </row>
    <row r="30" spans="1:25" ht="48" customHeight="1" thickBot="1" x14ac:dyDescent="0.35">
      <c r="A30" s="23">
        <v>10</v>
      </c>
      <c r="B30" s="27"/>
      <c r="C30" s="32"/>
      <c r="D30" s="32"/>
      <c r="E30" s="32"/>
      <c r="F30" s="32"/>
      <c r="G30" s="32"/>
      <c r="H30" s="32"/>
      <c r="I30" s="32"/>
      <c r="J30" s="33"/>
      <c r="L30" s="23">
        <v>10</v>
      </c>
      <c r="M30" s="34" t="s">
        <v>30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5"/>
    </row>
    <row r="31" spans="1:25" ht="15" thickTop="1" x14ac:dyDescent="0.3"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5" spans="13:13" x14ac:dyDescent="0.3">
      <c r="M35" s="31"/>
    </row>
  </sheetData>
  <sheetProtection algorithmName="SHA-512" hashValue="U3Tmx2YyB3XG4SVBKwfISq9/jTRLK2cD8gXp748nG+M4PPHPsPIxOAihGM5XSkk9lMobEa7xinc765zRe6/n5Q==" saltValue="SfD1bj5UKp8cnwToAQeRRA==" spinCount="100000" sheet="1" objects="1" scenarios="1"/>
  <mergeCells count="67">
    <mergeCell ref="C30:D30"/>
    <mergeCell ref="E30:F30"/>
    <mergeCell ref="G30:H30"/>
    <mergeCell ref="I30:J30"/>
    <mergeCell ref="M30:Y30"/>
    <mergeCell ref="C28:D28"/>
    <mergeCell ref="E28:F28"/>
    <mergeCell ref="G28:H28"/>
    <mergeCell ref="I28:J28"/>
    <mergeCell ref="M28:Y28"/>
    <mergeCell ref="C29:D29"/>
    <mergeCell ref="E29:F29"/>
    <mergeCell ref="G29:H29"/>
    <mergeCell ref="I29:J29"/>
    <mergeCell ref="M29:Y29"/>
    <mergeCell ref="C26:D26"/>
    <mergeCell ref="E26:F26"/>
    <mergeCell ref="G26:H26"/>
    <mergeCell ref="I26:J26"/>
    <mergeCell ref="M26:Y26"/>
    <mergeCell ref="C27:D27"/>
    <mergeCell ref="E27:F27"/>
    <mergeCell ref="G27:H27"/>
    <mergeCell ref="I27:J27"/>
    <mergeCell ref="M27:Y27"/>
    <mergeCell ref="C24:D24"/>
    <mergeCell ref="E24:F24"/>
    <mergeCell ref="G24:H24"/>
    <mergeCell ref="I24:J24"/>
    <mergeCell ref="M24:Y24"/>
    <mergeCell ref="C25:D25"/>
    <mergeCell ref="E25:F25"/>
    <mergeCell ref="G25:H25"/>
    <mergeCell ref="I25:J25"/>
    <mergeCell ref="M25:Y25"/>
    <mergeCell ref="C22:D22"/>
    <mergeCell ref="E22:F22"/>
    <mergeCell ref="G22:H22"/>
    <mergeCell ref="I22:J22"/>
    <mergeCell ref="M22:Y22"/>
    <mergeCell ref="C23:D23"/>
    <mergeCell ref="E23:F23"/>
    <mergeCell ref="G23:H23"/>
    <mergeCell ref="I23:J23"/>
    <mergeCell ref="M23:Y23"/>
    <mergeCell ref="C20:D20"/>
    <mergeCell ref="E20:F20"/>
    <mergeCell ref="G20:H20"/>
    <mergeCell ref="I20:J20"/>
    <mergeCell ref="L20:Y20"/>
    <mergeCell ref="C21:D21"/>
    <mergeCell ref="E21:F21"/>
    <mergeCell ref="G21:H21"/>
    <mergeCell ref="I21:J21"/>
    <mergeCell ref="M21:Y21"/>
    <mergeCell ref="AO1:AO2"/>
    <mergeCell ref="A1:A2"/>
    <mergeCell ref="B1:B2"/>
    <mergeCell ref="C1:C2"/>
    <mergeCell ref="D1:H1"/>
    <mergeCell ref="I1:M1"/>
    <mergeCell ref="N1:R1"/>
    <mergeCell ref="S1:W1"/>
    <mergeCell ref="X1:AB1"/>
    <mergeCell ref="AC1:AG1"/>
    <mergeCell ref="AH1:AL1"/>
    <mergeCell ref="AM1:AN1"/>
  </mergeCells>
  <printOptions horizontalCentered="1" verticalCentered="1"/>
  <pageMargins left="0" right="0" top="0" bottom="0" header="0" footer="0"/>
  <pageSetup paperSize="9" scale="2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637A05-A393-42D2-BFA5-053BFB1B6330}">
          <x14:formula1>
            <xm:f>Sayfa1!$A$1:$A$48</xm:f>
          </x14:formula1>
          <xm:sqref>D3:E14 AC3:AD14 X3:Y14 S3:T14 N3:O14 I3:J14 AH3:AI14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9708-58B0-46A6-A7D1-6A75F5816D81}">
  <sheetPr>
    <pageSetUpPr fitToPage="1"/>
  </sheetPr>
  <dimension ref="A1:AO35"/>
  <sheetViews>
    <sheetView tabSelected="1" zoomScale="40" zoomScaleNormal="40" workbookViewId="0">
      <selection activeCell="D2" sqref="D2"/>
    </sheetView>
  </sheetViews>
  <sheetFormatPr defaultColWidth="9.109375" defaultRowHeight="14.4" x14ac:dyDescent="0.3"/>
  <cols>
    <col min="1" max="1" width="8.44140625" style="13" bestFit="1" customWidth="1"/>
    <col min="2" max="2" width="25.77734375" style="13" customWidth="1"/>
    <col min="3" max="3" width="14.5546875" style="13" bestFit="1" customWidth="1"/>
    <col min="4" max="4" width="11.21875" style="13" bestFit="1" customWidth="1"/>
    <col min="5" max="5" width="11.21875" style="13" customWidth="1"/>
    <col min="6" max="7" width="11.21875" style="13" bestFit="1" customWidth="1"/>
    <col min="8" max="8" width="11.21875" style="13" customWidth="1"/>
    <col min="9" max="10" width="11.21875" style="13" bestFit="1" customWidth="1"/>
    <col min="11" max="11" width="11.21875" style="13" customWidth="1"/>
    <col min="12" max="38" width="11.21875" style="13" bestFit="1" customWidth="1"/>
    <col min="39" max="40" width="20.77734375" style="13" customWidth="1"/>
    <col min="41" max="41" width="40.77734375" style="13" customWidth="1"/>
    <col min="42" max="16384" width="9.109375" style="13"/>
  </cols>
  <sheetData>
    <row r="1" spans="1:41" s="7" customFormat="1" ht="25.5" customHeight="1" thickTop="1" thickBot="1" x14ac:dyDescent="0.35">
      <c r="A1" s="47" t="s">
        <v>0</v>
      </c>
      <c r="B1" s="49" t="s">
        <v>4</v>
      </c>
      <c r="C1" s="51" t="s">
        <v>1</v>
      </c>
      <c r="D1" s="53">
        <v>46314</v>
      </c>
      <c r="E1" s="54"/>
      <c r="F1" s="54"/>
      <c r="G1" s="54"/>
      <c r="H1" s="55"/>
      <c r="I1" s="53">
        <f>D1+1</f>
        <v>46315</v>
      </c>
      <c r="J1" s="54"/>
      <c r="K1" s="54"/>
      <c r="L1" s="54"/>
      <c r="M1" s="55"/>
      <c r="N1" s="53">
        <f>I1+1</f>
        <v>46316</v>
      </c>
      <c r="O1" s="54"/>
      <c r="P1" s="54"/>
      <c r="Q1" s="54"/>
      <c r="R1" s="55"/>
      <c r="S1" s="53">
        <f>N1+1</f>
        <v>46317</v>
      </c>
      <c r="T1" s="54"/>
      <c r="U1" s="54"/>
      <c r="V1" s="54"/>
      <c r="W1" s="55"/>
      <c r="X1" s="53">
        <f>S1+1</f>
        <v>46318</v>
      </c>
      <c r="Y1" s="54"/>
      <c r="Z1" s="54"/>
      <c r="AA1" s="54"/>
      <c r="AB1" s="55"/>
      <c r="AC1" s="53">
        <f>X1+1</f>
        <v>46319</v>
      </c>
      <c r="AD1" s="54"/>
      <c r="AE1" s="54"/>
      <c r="AF1" s="54"/>
      <c r="AG1" s="55"/>
      <c r="AH1" s="53">
        <f>AC1+1</f>
        <v>46320</v>
      </c>
      <c r="AI1" s="54"/>
      <c r="AJ1" s="54"/>
      <c r="AK1" s="54"/>
      <c r="AL1" s="55"/>
      <c r="AM1" s="56" t="s">
        <v>12</v>
      </c>
      <c r="AN1" s="57"/>
      <c r="AO1" s="45" t="s">
        <v>19</v>
      </c>
    </row>
    <row r="2" spans="1:41" ht="41.4" customHeight="1" thickBot="1" x14ac:dyDescent="0.35">
      <c r="A2" s="48"/>
      <c r="B2" s="50"/>
      <c r="C2" s="52"/>
      <c r="D2" s="8" t="s">
        <v>2</v>
      </c>
      <c r="E2" s="9" t="s">
        <v>3</v>
      </c>
      <c r="F2" s="10" t="s">
        <v>7</v>
      </c>
      <c r="G2" s="10" t="s">
        <v>6</v>
      </c>
      <c r="H2" s="11" t="s">
        <v>8</v>
      </c>
      <c r="I2" s="8" t="s">
        <v>2</v>
      </c>
      <c r="J2" s="9" t="s">
        <v>3</v>
      </c>
      <c r="K2" s="10" t="s">
        <v>7</v>
      </c>
      <c r="L2" s="10" t="s">
        <v>6</v>
      </c>
      <c r="M2" s="11" t="s">
        <v>8</v>
      </c>
      <c r="N2" s="8" t="s">
        <v>2</v>
      </c>
      <c r="O2" s="9" t="s">
        <v>3</v>
      </c>
      <c r="P2" s="10" t="s">
        <v>7</v>
      </c>
      <c r="Q2" s="10" t="s">
        <v>6</v>
      </c>
      <c r="R2" s="11" t="s">
        <v>8</v>
      </c>
      <c r="S2" s="8" t="s">
        <v>2</v>
      </c>
      <c r="T2" s="9" t="s">
        <v>3</v>
      </c>
      <c r="U2" s="10" t="s">
        <v>7</v>
      </c>
      <c r="V2" s="10" t="s">
        <v>6</v>
      </c>
      <c r="W2" s="11" t="s">
        <v>8</v>
      </c>
      <c r="X2" s="8" t="s">
        <v>2</v>
      </c>
      <c r="Y2" s="9" t="s">
        <v>3</v>
      </c>
      <c r="Z2" s="10" t="s">
        <v>7</v>
      </c>
      <c r="AA2" s="10" t="s">
        <v>6</v>
      </c>
      <c r="AB2" s="11" t="s">
        <v>8</v>
      </c>
      <c r="AC2" s="8" t="s">
        <v>2</v>
      </c>
      <c r="AD2" s="9" t="s">
        <v>3</v>
      </c>
      <c r="AE2" s="10" t="s">
        <v>7</v>
      </c>
      <c r="AF2" s="10" t="s">
        <v>6</v>
      </c>
      <c r="AG2" s="11" t="s">
        <v>8</v>
      </c>
      <c r="AH2" s="8" t="s">
        <v>2</v>
      </c>
      <c r="AI2" s="9" t="s">
        <v>3</v>
      </c>
      <c r="AJ2" s="10" t="s">
        <v>7</v>
      </c>
      <c r="AK2" s="10" t="s">
        <v>6</v>
      </c>
      <c r="AL2" s="11" t="s">
        <v>8</v>
      </c>
      <c r="AM2" s="12" t="s">
        <v>10</v>
      </c>
      <c r="AN2" s="11" t="s">
        <v>11</v>
      </c>
      <c r="AO2" s="46"/>
    </row>
    <row r="3" spans="1:41" ht="48" customHeight="1" thickBot="1" x14ac:dyDescent="0.35">
      <c r="A3" s="22">
        <v>1</v>
      </c>
      <c r="B3" s="1" t="s">
        <v>32</v>
      </c>
      <c r="C3" s="2" t="s">
        <v>5</v>
      </c>
      <c r="D3" s="4">
        <v>0.39583333333333298</v>
      </c>
      <c r="E3" s="5">
        <v>0.72916666666666696</v>
      </c>
      <c r="F3" s="14">
        <f>E3-D3</f>
        <v>0.33333333333333398</v>
      </c>
      <c r="G3" s="15">
        <f>IFERROR(VLOOKUP(F3,Sayfa1!C:D,2,TRUE),"")</f>
        <v>4.1666666666666664E-2</v>
      </c>
      <c r="H3" s="16">
        <f t="shared" ref="H3:H14" si="0">IFERROR(F3-G3,"")</f>
        <v>0.2916666666666673</v>
      </c>
      <c r="I3" s="4">
        <v>0</v>
      </c>
      <c r="J3" s="5">
        <v>0</v>
      </c>
      <c r="K3" s="14">
        <f>J3-I3</f>
        <v>0</v>
      </c>
      <c r="L3" s="15">
        <f>IFERROR(VLOOKUP(K3,Sayfa1!C:D,2,TRUE),"")</f>
        <v>0</v>
      </c>
      <c r="M3" s="16">
        <f t="shared" ref="M3:M14" si="1">IFERROR(K3-L3,"")</f>
        <v>0</v>
      </c>
      <c r="N3" s="4">
        <v>0.60416666666666696</v>
      </c>
      <c r="O3" s="5">
        <v>0.91666666666666696</v>
      </c>
      <c r="P3" s="14">
        <f>O3-N3</f>
        <v>0.3125</v>
      </c>
      <c r="Q3" s="15">
        <f>IFERROR(VLOOKUP(P3,Sayfa1!C:D,2,TRUE),"")</f>
        <v>4.1666666666666664E-2</v>
      </c>
      <c r="R3" s="16">
        <f t="shared" ref="R3:R14" si="2">IFERROR(P3-Q3,"")</f>
        <v>0.27083333333333331</v>
      </c>
      <c r="S3" s="4">
        <v>0.39583333333333298</v>
      </c>
      <c r="T3" s="5">
        <v>0.91666666666666696</v>
      </c>
      <c r="U3" s="14">
        <f>T3-S3</f>
        <v>0.52083333333333393</v>
      </c>
      <c r="V3" s="15">
        <f>IFERROR(VLOOKUP(U3,Sayfa1!C:D,2,TRUE),"")</f>
        <v>8.3333333333333329E-2</v>
      </c>
      <c r="W3" s="16">
        <f t="shared" ref="W3:W14" si="3">IFERROR(U3-V3,"")</f>
        <v>0.43750000000000061</v>
      </c>
      <c r="X3" s="4">
        <v>0.39583333333333298</v>
      </c>
      <c r="Y3" s="5">
        <v>0.72916666666666696</v>
      </c>
      <c r="Z3" s="14">
        <f>Y3-X3</f>
        <v>0.33333333333333398</v>
      </c>
      <c r="AA3" s="15">
        <f>IFERROR(VLOOKUP(Z3,Sayfa1!C:D,2,TRUE),"")</f>
        <v>4.1666666666666664E-2</v>
      </c>
      <c r="AB3" s="16">
        <f t="shared" ref="AB3:AB14" si="4">IFERROR(Z3-AA3,"")</f>
        <v>0.2916666666666673</v>
      </c>
      <c r="AC3" s="4">
        <v>0.58333333333333304</v>
      </c>
      <c r="AD3" s="5">
        <v>0.91666666666666696</v>
      </c>
      <c r="AE3" s="14">
        <f>AD3-AC3</f>
        <v>0.33333333333333393</v>
      </c>
      <c r="AF3" s="15">
        <f>IFERROR(VLOOKUP(AE3,Sayfa1!C:D,2,TRUE),"")</f>
        <v>4.1666666666666664E-2</v>
      </c>
      <c r="AG3" s="16">
        <f t="shared" ref="AG3:AG14" si="5">IFERROR(AE3-AF3,"")</f>
        <v>0.29166666666666724</v>
      </c>
      <c r="AH3" s="4">
        <v>0.39583333333333298</v>
      </c>
      <c r="AI3" s="5">
        <v>0.75</v>
      </c>
      <c r="AJ3" s="14">
        <f>AI3-AH3</f>
        <v>0.35416666666666702</v>
      </c>
      <c r="AK3" s="15">
        <f>IFERROR(VLOOKUP(AJ3,Sayfa1!C:D,2,TRUE),"")</f>
        <v>6.25E-2</v>
      </c>
      <c r="AL3" s="16">
        <f>IFERROR(AJ3-AK3,"")</f>
        <v>0.29166666666666702</v>
      </c>
      <c r="AM3" s="17">
        <f>IFERROR(H3+M3+R3+W3+AB3+AG3+AL3,"")</f>
        <v>1.8750000000000029</v>
      </c>
      <c r="AN3" s="18">
        <f>IFERROR(AM3-(Sayfa1!$I$1/24),"")</f>
        <v>2.886579864025407E-15</v>
      </c>
      <c r="AO3" s="29"/>
    </row>
    <row r="4" spans="1:41" ht="48" customHeight="1" thickBot="1" x14ac:dyDescent="0.35">
      <c r="A4" s="22">
        <v>2</v>
      </c>
      <c r="B4" s="1" t="s">
        <v>33</v>
      </c>
      <c r="C4" s="2" t="s">
        <v>31</v>
      </c>
      <c r="D4" s="4">
        <v>0.60416666666666696</v>
      </c>
      <c r="E4" s="5">
        <v>0.91666666666666696</v>
      </c>
      <c r="F4" s="14">
        <f t="shared" ref="F4:F14" si="6">E4-D4</f>
        <v>0.3125</v>
      </c>
      <c r="G4" s="15">
        <f>IFERROR(VLOOKUP(F4,Sayfa1!C:D,2,TRUE),"")</f>
        <v>4.1666666666666664E-2</v>
      </c>
      <c r="H4" s="16">
        <f t="shared" si="0"/>
        <v>0.27083333333333331</v>
      </c>
      <c r="I4" s="4">
        <v>0.39583333333333298</v>
      </c>
      <c r="J4" s="5">
        <v>0.91666666666666696</v>
      </c>
      <c r="K4" s="14">
        <f t="shared" ref="K4:K14" si="7">J4-I4</f>
        <v>0.52083333333333393</v>
      </c>
      <c r="L4" s="15">
        <f>IFERROR(VLOOKUP(K4,Sayfa1!C:D,2,TRUE),"")</f>
        <v>8.3333333333333329E-2</v>
      </c>
      <c r="M4" s="16">
        <f t="shared" si="1"/>
        <v>0.43750000000000061</v>
      </c>
      <c r="N4" s="4">
        <v>0.39583333333333298</v>
      </c>
      <c r="O4" s="5">
        <v>0.72916666666666696</v>
      </c>
      <c r="P4" s="14">
        <f t="shared" ref="P4:P14" si="8">O4-N4</f>
        <v>0.33333333333333398</v>
      </c>
      <c r="Q4" s="15">
        <f>IFERROR(VLOOKUP(P4,Sayfa1!C:D,2,TRUE),"")</f>
        <v>4.1666666666666664E-2</v>
      </c>
      <c r="R4" s="16">
        <f t="shared" si="2"/>
        <v>0.2916666666666673</v>
      </c>
      <c r="S4" s="4">
        <v>0</v>
      </c>
      <c r="T4" s="5">
        <v>0</v>
      </c>
      <c r="U4" s="14">
        <f t="shared" ref="U4:U14" si="9">T4-S4</f>
        <v>0</v>
      </c>
      <c r="V4" s="15">
        <f>IFERROR(VLOOKUP(U4,Sayfa1!C:D,2,TRUE),"")</f>
        <v>0</v>
      </c>
      <c r="W4" s="16">
        <f t="shared" si="3"/>
        <v>0</v>
      </c>
      <c r="X4" s="4">
        <v>0.58333333333333304</v>
      </c>
      <c r="Y4" s="5">
        <v>0.91666666666666696</v>
      </c>
      <c r="Z4" s="14">
        <f t="shared" ref="Z4:Z14" si="10">Y4-X4</f>
        <v>0.33333333333333393</v>
      </c>
      <c r="AA4" s="15">
        <f>IFERROR(VLOOKUP(Z4,Sayfa1!C:D,2,TRUE),"")</f>
        <v>4.1666666666666664E-2</v>
      </c>
      <c r="AB4" s="16">
        <f t="shared" si="4"/>
        <v>0.29166666666666724</v>
      </c>
      <c r="AC4" s="4">
        <v>0.39583333333333298</v>
      </c>
      <c r="AD4" s="5">
        <v>0.75</v>
      </c>
      <c r="AE4" s="14">
        <f t="shared" ref="AE4:AE14" si="11">AD4-AC4</f>
        <v>0.35416666666666702</v>
      </c>
      <c r="AF4" s="15">
        <f>IFERROR(VLOOKUP(AE4,Sayfa1!C:D,2,TRUE),"")</f>
        <v>6.25E-2</v>
      </c>
      <c r="AG4" s="16">
        <f t="shared" si="5"/>
        <v>0.29166666666666702</v>
      </c>
      <c r="AH4" s="4">
        <v>0.58333333333333304</v>
      </c>
      <c r="AI4" s="5">
        <v>0.91666666666666696</v>
      </c>
      <c r="AJ4" s="14">
        <f t="shared" ref="AJ4:AJ14" si="12">AI4-AH4</f>
        <v>0.33333333333333393</v>
      </c>
      <c r="AK4" s="15">
        <f>IFERROR(VLOOKUP(AJ4,Sayfa1!C:D,2,TRUE),"")</f>
        <v>4.1666666666666664E-2</v>
      </c>
      <c r="AL4" s="16">
        <f t="shared" ref="AL4:AL14" si="13">IFERROR(AJ4-AK4,"")</f>
        <v>0.29166666666666724</v>
      </c>
      <c r="AM4" s="17">
        <f t="shared" ref="AM4:AM14" si="14">IFERROR(H4+M4+R4+W4+AB4+AG4+AL4,"")</f>
        <v>1.8750000000000027</v>
      </c>
      <c r="AN4" s="18">
        <f>IFERROR(AM4-(Sayfa1!$I$1/24),"")</f>
        <v>2.6645352591003757E-15</v>
      </c>
      <c r="AO4" s="29"/>
    </row>
    <row r="5" spans="1:41" ht="48" customHeight="1" thickBot="1" x14ac:dyDescent="0.35">
      <c r="A5" s="22">
        <v>3</v>
      </c>
      <c r="B5" s="1" t="s">
        <v>34</v>
      </c>
      <c r="C5" s="2" t="s">
        <v>13</v>
      </c>
      <c r="D5" s="4">
        <v>0.5625</v>
      </c>
      <c r="E5" s="5">
        <v>0.91666666666666696</v>
      </c>
      <c r="F5" s="14">
        <f t="shared" si="6"/>
        <v>0.35416666666666696</v>
      </c>
      <c r="G5" s="15">
        <f>IFERROR(VLOOKUP(F5,Sayfa1!C:D,2,TRUE),"")</f>
        <v>4.1666666666666664E-2</v>
      </c>
      <c r="H5" s="16">
        <f t="shared" si="0"/>
        <v>0.31250000000000028</v>
      </c>
      <c r="I5" s="4">
        <v>0.39583333333333298</v>
      </c>
      <c r="J5" s="5">
        <v>0.72916666666666696</v>
      </c>
      <c r="K5" s="14">
        <f t="shared" si="7"/>
        <v>0.33333333333333398</v>
      </c>
      <c r="L5" s="15">
        <f>IFERROR(VLOOKUP(K5,Sayfa1!C:D,2,TRUE),"")</f>
        <v>4.1666666666666664E-2</v>
      </c>
      <c r="M5" s="16">
        <f t="shared" si="1"/>
        <v>0.2916666666666673</v>
      </c>
      <c r="N5" s="4">
        <v>0</v>
      </c>
      <c r="O5" s="5">
        <v>0</v>
      </c>
      <c r="P5" s="14">
        <f t="shared" si="8"/>
        <v>0</v>
      </c>
      <c r="Q5" s="15">
        <f>IFERROR(VLOOKUP(P5,Sayfa1!C:D,2,TRUE),"")</f>
        <v>0</v>
      </c>
      <c r="R5" s="16">
        <f t="shared" si="2"/>
        <v>0</v>
      </c>
      <c r="S5" s="4">
        <v>0.58333333333333304</v>
      </c>
      <c r="T5" s="5">
        <v>0.91666666666666696</v>
      </c>
      <c r="U5" s="14">
        <f t="shared" si="9"/>
        <v>0.33333333333333393</v>
      </c>
      <c r="V5" s="15">
        <f>IFERROR(VLOOKUP(U5,Sayfa1!C:D,2,TRUE),"")</f>
        <v>4.1666666666666664E-2</v>
      </c>
      <c r="W5" s="16">
        <f t="shared" si="3"/>
        <v>0.29166666666666724</v>
      </c>
      <c r="X5" s="4">
        <v>0.54166666666666696</v>
      </c>
      <c r="Y5" s="5">
        <v>0.91666666666666696</v>
      </c>
      <c r="Z5" s="14">
        <f t="shared" si="10"/>
        <v>0.375</v>
      </c>
      <c r="AA5" s="15">
        <f>IFERROR(VLOOKUP(Z5,Sayfa1!C:D,2,TRUE),"")</f>
        <v>6.25E-2</v>
      </c>
      <c r="AB5" s="16">
        <f t="shared" si="4"/>
        <v>0.3125</v>
      </c>
      <c r="AC5" s="4">
        <v>0.39583333333333298</v>
      </c>
      <c r="AD5" s="5">
        <v>0.91666666666666696</v>
      </c>
      <c r="AE5" s="14">
        <f t="shared" si="11"/>
        <v>0.52083333333333393</v>
      </c>
      <c r="AF5" s="15">
        <f>IFERROR(VLOOKUP(AE5,Sayfa1!C:D,2,TRUE),"")</f>
        <v>8.3333333333333329E-2</v>
      </c>
      <c r="AG5" s="16">
        <f t="shared" si="5"/>
        <v>0.43750000000000061</v>
      </c>
      <c r="AH5" s="4">
        <v>0.54166666666666696</v>
      </c>
      <c r="AI5" s="5">
        <v>0.91666666666666696</v>
      </c>
      <c r="AJ5" s="14">
        <f t="shared" si="12"/>
        <v>0.375</v>
      </c>
      <c r="AK5" s="15">
        <f>IFERROR(VLOOKUP(AJ5,Sayfa1!C:D,2,TRUE),"")</f>
        <v>6.25E-2</v>
      </c>
      <c r="AL5" s="16">
        <f t="shared" si="13"/>
        <v>0.3125</v>
      </c>
      <c r="AM5" s="17">
        <f t="shared" si="14"/>
        <v>1.9583333333333355</v>
      </c>
      <c r="AN5" s="18">
        <f>IFERROR(AM5-(Sayfa1!$I$1/24),"")</f>
        <v>8.333333333333548E-2</v>
      </c>
      <c r="AO5" s="29"/>
    </row>
    <row r="6" spans="1:41" ht="48" customHeight="1" thickBot="1" x14ac:dyDescent="0.35">
      <c r="A6" s="22">
        <v>4</v>
      </c>
      <c r="B6" s="1" t="s">
        <v>35</v>
      </c>
      <c r="C6" s="2" t="s">
        <v>13</v>
      </c>
      <c r="D6" s="4">
        <v>0</v>
      </c>
      <c r="E6" s="5">
        <v>0</v>
      </c>
      <c r="F6" s="14">
        <f t="shared" si="6"/>
        <v>0</v>
      </c>
      <c r="G6" s="15">
        <f>IFERROR(VLOOKUP(F6,Sayfa1!C:D,2,TRUE),"")</f>
        <v>0</v>
      </c>
      <c r="H6" s="16">
        <f t="shared" si="0"/>
        <v>0</v>
      </c>
      <c r="I6" s="4">
        <v>0.60416666666666696</v>
      </c>
      <c r="J6" s="5">
        <v>0.91666666666666696</v>
      </c>
      <c r="K6" s="14">
        <f t="shared" si="7"/>
        <v>0.3125</v>
      </c>
      <c r="L6" s="15">
        <f>IFERROR(VLOOKUP(K6,Sayfa1!C:D,2,TRUE),"")</f>
        <v>4.1666666666666664E-2</v>
      </c>
      <c r="M6" s="16">
        <f t="shared" si="1"/>
        <v>0.27083333333333331</v>
      </c>
      <c r="N6" s="4">
        <v>0.58333333333333304</v>
      </c>
      <c r="O6" s="5">
        <v>0.91666666666666696</v>
      </c>
      <c r="P6" s="14">
        <f t="shared" si="8"/>
        <v>0.33333333333333393</v>
      </c>
      <c r="Q6" s="15">
        <f>IFERROR(VLOOKUP(P6,Sayfa1!C:D,2,TRUE),"")</f>
        <v>4.1666666666666664E-2</v>
      </c>
      <c r="R6" s="16">
        <f t="shared" si="2"/>
        <v>0.29166666666666724</v>
      </c>
      <c r="S6" s="4">
        <v>0.58333333333333304</v>
      </c>
      <c r="T6" s="5">
        <v>0.91666666666666696</v>
      </c>
      <c r="U6" s="14">
        <f t="shared" si="9"/>
        <v>0.33333333333333393</v>
      </c>
      <c r="V6" s="15">
        <f>IFERROR(VLOOKUP(U6,Sayfa1!C:D,2,TRUE),"")</f>
        <v>4.1666666666666664E-2</v>
      </c>
      <c r="W6" s="16">
        <f t="shared" si="3"/>
        <v>0.29166666666666724</v>
      </c>
      <c r="X6" s="4">
        <v>0.39583333333333298</v>
      </c>
      <c r="Y6" s="5">
        <v>0.91666666666666696</v>
      </c>
      <c r="Z6" s="14">
        <f t="shared" si="10"/>
        <v>0.52083333333333393</v>
      </c>
      <c r="AA6" s="15">
        <f>IFERROR(VLOOKUP(Z6,Sayfa1!C:D,2,TRUE),"")</f>
        <v>8.3333333333333329E-2</v>
      </c>
      <c r="AB6" s="16">
        <f t="shared" si="4"/>
        <v>0.43750000000000061</v>
      </c>
      <c r="AC6" s="4">
        <v>0.5</v>
      </c>
      <c r="AD6" s="5">
        <v>0.83333333333333304</v>
      </c>
      <c r="AE6" s="14">
        <f t="shared" si="11"/>
        <v>0.33333333333333304</v>
      </c>
      <c r="AF6" s="15">
        <f>IFERROR(VLOOKUP(AE6,Sayfa1!C:D,2,TRUE),"")</f>
        <v>4.1666666666666664E-2</v>
      </c>
      <c r="AG6" s="16">
        <f t="shared" si="5"/>
        <v>0.29166666666666635</v>
      </c>
      <c r="AH6" s="4">
        <v>0.39583333333333298</v>
      </c>
      <c r="AI6" s="5">
        <v>0.72916666666666696</v>
      </c>
      <c r="AJ6" s="14">
        <f t="shared" si="12"/>
        <v>0.33333333333333398</v>
      </c>
      <c r="AK6" s="15">
        <f>IFERROR(VLOOKUP(AJ6,Sayfa1!C:D,2,TRUE),"")</f>
        <v>4.1666666666666664E-2</v>
      </c>
      <c r="AL6" s="16">
        <f t="shared" si="13"/>
        <v>0.2916666666666673</v>
      </c>
      <c r="AM6" s="17">
        <f t="shared" si="14"/>
        <v>1.8750000000000022</v>
      </c>
      <c r="AN6" s="18">
        <f>IFERROR(AM6-(Sayfa1!$I$1/24),"")</f>
        <v>2.2204460492503131E-15</v>
      </c>
      <c r="AO6" s="29"/>
    </row>
    <row r="7" spans="1:41" ht="48" customHeight="1" thickBot="1" x14ac:dyDescent="0.35">
      <c r="A7" s="22">
        <v>5</v>
      </c>
      <c r="B7" s="1" t="s">
        <v>38</v>
      </c>
      <c r="C7" s="2" t="s">
        <v>13</v>
      </c>
      <c r="D7" s="4">
        <v>0.39583333333333298</v>
      </c>
      <c r="E7" s="5">
        <v>0.72916666666666696</v>
      </c>
      <c r="F7" s="14">
        <f t="shared" si="6"/>
        <v>0.33333333333333398</v>
      </c>
      <c r="G7" s="15">
        <f>IFERROR(VLOOKUP(F7,Sayfa1!C:D,2,TRUE),"")</f>
        <v>4.1666666666666664E-2</v>
      </c>
      <c r="H7" s="16">
        <f t="shared" si="0"/>
        <v>0.2916666666666673</v>
      </c>
      <c r="I7" s="4">
        <v>0.52083333333333304</v>
      </c>
      <c r="J7" s="5">
        <v>0.83333333333333304</v>
      </c>
      <c r="K7" s="14">
        <f t="shared" si="7"/>
        <v>0.3125</v>
      </c>
      <c r="L7" s="15">
        <f>IFERROR(VLOOKUP(K7,Sayfa1!C:D,2,TRUE),"")</f>
        <v>4.1666666666666664E-2</v>
      </c>
      <c r="M7" s="16">
        <f t="shared" si="1"/>
        <v>0.27083333333333331</v>
      </c>
      <c r="N7" s="4">
        <v>0.5</v>
      </c>
      <c r="O7" s="5">
        <v>0.83333333333333304</v>
      </c>
      <c r="P7" s="14">
        <f t="shared" si="8"/>
        <v>0.33333333333333304</v>
      </c>
      <c r="Q7" s="15">
        <f>IFERROR(VLOOKUP(P7,Sayfa1!C:D,2,TRUE),"")</f>
        <v>4.1666666666666664E-2</v>
      </c>
      <c r="R7" s="16">
        <f t="shared" si="2"/>
        <v>0.29166666666666635</v>
      </c>
      <c r="S7" s="4">
        <v>0.39583333333333298</v>
      </c>
      <c r="T7" s="5">
        <v>0.72916666666666696</v>
      </c>
      <c r="U7" s="14">
        <f t="shared" si="9"/>
        <v>0.33333333333333398</v>
      </c>
      <c r="V7" s="15">
        <f>IFERROR(VLOOKUP(U7,Sayfa1!C:D,2,TRUE),"")</f>
        <v>4.1666666666666664E-2</v>
      </c>
      <c r="W7" s="16">
        <f t="shared" si="3"/>
        <v>0.2916666666666673</v>
      </c>
      <c r="X7" s="4">
        <v>0</v>
      </c>
      <c r="Y7" s="5">
        <v>0</v>
      </c>
      <c r="Z7" s="14">
        <f t="shared" si="10"/>
        <v>0</v>
      </c>
      <c r="AA7" s="15">
        <f>IFERROR(VLOOKUP(Z7,Sayfa1!C:D,2,TRUE),"")</f>
        <v>0</v>
      </c>
      <c r="AB7" s="16">
        <f t="shared" si="4"/>
        <v>0</v>
      </c>
      <c r="AC7" s="4">
        <v>0.58333333333333304</v>
      </c>
      <c r="AD7" s="5">
        <v>0.91666666666666696</v>
      </c>
      <c r="AE7" s="14">
        <f t="shared" si="11"/>
        <v>0.33333333333333393</v>
      </c>
      <c r="AF7" s="15">
        <f>IFERROR(VLOOKUP(AE7,Sayfa1!C:D,2,TRUE),"")</f>
        <v>4.1666666666666664E-2</v>
      </c>
      <c r="AG7" s="16">
        <f t="shared" si="5"/>
        <v>0.29166666666666724</v>
      </c>
      <c r="AH7" s="4">
        <v>0.39583333333333298</v>
      </c>
      <c r="AI7" s="5">
        <v>0.91666666666666696</v>
      </c>
      <c r="AJ7" s="14">
        <f t="shared" si="12"/>
        <v>0.52083333333333393</v>
      </c>
      <c r="AK7" s="15">
        <f>IFERROR(VLOOKUP(AJ7,Sayfa1!C:D,2,TRUE),"")</f>
        <v>8.3333333333333329E-2</v>
      </c>
      <c r="AL7" s="16">
        <f t="shared" si="13"/>
        <v>0.43750000000000061</v>
      </c>
      <c r="AM7" s="17">
        <f t="shared" si="14"/>
        <v>1.8750000000000022</v>
      </c>
      <c r="AN7" s="18">
        <f>IFERROR(AM7-(Sayfa1!$I$1/24),"")</f>
        <v>2.2204460492503131E-15</v>
      </c>
      <c r="AO7" s="29"/>
    </row>
    <row r="8" spans="1:41" ht="48" customHeight="1" thickBot="1" x14ac:dyDescent="0.35">
      <c r="A8" s="22">
        <v>6</v>
      </c>
      <c r="B8" s="1" t="s">
        <v>39</v>
      </c>
      <c r="C8" s="2" t="s">
        <v>13</v>
      </c>
      <c r="D8" s="4">
        <v>0.41666666666666702</v>
      </c>
      <c r="E8" s="5">
        <v>0.91666666666666696</v>
      </c>
      <c r="F8" s="14">
        <f t="shared" si="6"/>
        <v>0.49999999999999994</v>
      </c>
      <c r="G8" s="15">
        <f>IFERROR(VLOOKUP(F8,Sayfa1!C:D,2,TRUE),"")</f>
        <v>8.3333333333333329E-2</v>
      </c>
      <c r="H8" s="16">
        <f t="shared" si="0"/>
        <v>0.41666666666666663</v>
      </c>
      <c r="I8" s="4">
        <v>0.39583333333333298</v>
      </c>
      <c r="J8" s="5">
        <v>0.91666666666666696</v>
      </c>
      <c r="K8" s="14">
        <f t="shared" si="7"/>
        <v>0.52083333333333393</v>
      </c>
      <c r="L8" s="15">
        <f>IFERROR(VLOOKUP(K8,Sayfa1!C:D,2,TRUE),"")</f>
        <v>8.3333333333333329E-2</v>
      </c>
      <c r="M8" s="16">
        <f t="shared" si="1"/>
        <v>0.43750000000000061</v>
      </c>
      <c r="N8" s="4">
        <v>0.39583333333333298</v>
      </c>
      <c r="O8" s="5">
        <v>0.91666666666666696</v>
      </c>
      <c r="P8" s="14">
        <f t="shared" si="8"/>
        <v>0.52083333333333393</v>
      </c>
      <c r="Q8" s="15">
        <f>IFERROR(VLOOKUP(P8,Sayfa1!C:D,2,TRUE),"")</f>
        <v>8.3333333333333329E-2</v>
      </c>
      <c r="R8" s="16">
        <f t="shared" si="2"/>
        <v>0.43750000000000061</v>
      </c>
      <c r="S8" s="4">
        <v>0.39583333333333298</v>
      </c>
      <c r="T8" s="5">
        <v>0.83333333333333304</v>
      </c>
      <c r="U8" s="14">
        <f t="shared" si="9"/>
        <v>0.43750000000000006</v>
      </c>
      <c r="V8" s="15">
        <f>IFERROR(VLOOKUP(U8,Sayfa1!C:D,2,TRUE),"")</f>
        <v>6.25E-2</v>
      </c>
      <c r="W8" s="16">
        <f t="shared" si="3"/>
        <v>0.37500000000000006</v>
      </c>
      <c r="X8" s="4">
        <v>0</v>
      </c>
      <c r="Y8" s="5">
        <v>0</v>
      </c>
      <c r="Z8" s="14">
        <f t="shared" si="10"/>
        <v>0</v>
      </c>
      <c r="AA8" s="15">
        <f>IFERROR(VLOOKUP(Z8,Sayfa1!C:D,2,TRUE),"")</f>
        <v>0</v>
      </c>
      <c r="AB8" s="16">
        <f t="shared" si="4"/>
        <v>0</v>
      </c>
      <c r="AC8" s="4">
        <v>0</v>
      </c>
      <c r="AD8" s="5">
        <v>0</v>
      </c>
      <c r="AE8" s="14">
        <f t="shared" si="11"/>
        <v>0</v>
      </c>
      <c r="AF8" s="15">
        <f>IFERROR(VLOOKUP(AE8,Sayfa1!C:D,2,TRUE),"")</f>
        <v>0</v>
      </c>
      <c r="AG8" s="16">
        <f t="shared" si="5"/>
        <v>0</v>
      </c>
      <c r="AH8" s="4">
        <v>0</v>
      </c>
      <c r="AI8" s="5">
        <v>0</v>
      </c>
      <c r="AJ8" s="14">
        <f t="shared" si="12"/>
        <v>0</v>
      </c>
      <c r="AK8" s="15">
        <f>IFERROR(VLOOKUP(AJ8,Sayfa1!C:D,2,TRUE),"")</f>
        <v>0</v>
      </c>
      <c r="AL8" s="16">
        <f t="shared" si="13"/>
        <v>0</v>
      </c>
      <c r="AM8" s="17">
        <f t="shared" si="14"/>
        <v>1.6666666666666679</v>
      </c>
      <c r="AN8" s="18">
        <f>IFERROR(AM8-(Sayfa1!$I$1/24),"")</f>
        <v>-0.20833333333333215</v>
      </c>
      <c r="AO8" s="29"/>
    </row>
    <row r="9" spans="1:41" ht="48" customHeight="1" thickBot="1" x14ac:dyDescent="0.35">
      <c r="A9" s="22">
        <v>7</v>
      </c>
      <c r="B9" s="1"/>
      <c r="C9" s="2" t="s">
        <v>13</v>
      </c>
      <c r="D9" s="4"/>
      <c r="E9" s="5"/>
      <c r="F9" s="14">
        <f t="shared" si="6"/>
        <v>0</v>
      </c>
      <c r="G9" s="15">
        <f>IFERROR(VLOOKUP(F9,Sayfa1!C:D,2,TRUE),"")</f>
        <v>0</v>
      </c>
      <c r="H9" s="16">
        <f t="shared" si="0"/>
        <v>0</v>
      </c>
      <c r="I9" s="4"/>
      <c r="J9" s="5"/>
      <c r="K9" s="14">
        <f t="shared" si="7"/>
        <v>0</v>
      </c>
      <c r="L9" s="15">
        <f>IFERROR(VLOOKUP(K9,Sayfa1!C:D,2,TRUE),"")</f>
        <v>0</v>
      </c>
      <c r="M9" s="16">
        <f t="shared" si="1"/>
        <v>0</v>
      </c>
      <c r="N9" s="4"/>
      <c r="O9" s="5"/>
      <c r="P9" s="14">
        <f t="shared" si="8"/>
        <v>0</v>
      </c>
      <c r="Q9" s="15">
        <f>IFERROR(VLOOKUP(P9,Sayfa1!C:D,2,TRUE),"")</f>
        <v>0</v>
      </c>
      <c r="R9" s="16">
        <f t="shared" si="2"/>
        <v>0</v>
      </c>
      <c r="S9" s="4"/>
      <c r="T9" s="5"/>
      <c r="U9" s="14">
        <f t="shared" si="9"/>
        <v>0</v>
      </c>
      <c r="V9" s="15">
        <f>IFERROR(VLOOKUP(U9,Sayfa1!C:D,2,TRUE),"")</f>
        <v>0</v>
      </c>
      <c r="W9" s="16">
        <f t="shared" si="3"/>
        <v>0</v>
      </c>
      <c r="X9" s="4"/>
      <c r="Y9" s="5"/>
      <c r="Z9" s="14">
        <f t="shared" si="10"/>
        <v>0</v>
      </c>
      <c r="AA9" s="15">
        <f>IFERROR(VLOOKUP(Z9,Sayfa1!C:D,2,TRUE),"")</f>
        <v>0</v>
      </c>
      <c r="AB9" s="16">
        <f t="shared" si="4"/>
        <v>0</v>
      </c>
      <c r="AC9" s="4"/>
      <c r="AD9" s="5"/>
      <c r="AE9" s="14">
        <f t="shared" si="11"/>
        <v>0</v>
      </c>
      <c r="AF9" s="15">
        <f>IFERROR(VLOOKUP(AE9,Sayfa1!C:D,2,TRUE),"")</f>
        <v>0</v>
      </c>
      <c r="AG9" s="16">
        <f t="shared" si="5"/>
        <v>0</v>
      </c>
      <c r="AH9" s="4"/>
      <c r="AI9" s="5"/>
      <c r="AJ9" s="14">
        <f t="shared" si="12"/>
        <v>0</v>
      </c>
      <c r="AK9" s="15">
        <f>IFERROR(VLOOKUP(AJ9,Sayfa1!C:D,2,TRUE),"")</f>
        <v>0</v>
      </c>
      <c r="AL9" s="16">
        <f t="shared" si="13"/>
        <v>0</v>
      </c>
      <c r="AM9" s="17">
        <f t="shared" si="14"/>
        <v>0</v>
      </c>
      <c r="AN9" s="18">
        <f>IFERROR(AM9-(Sayfa1!$I$1/24),"")</f>
        <v>-1.875</v>
      </c>
      <c r="AO9" s="29"/>
    </row>
    <row r="10" spans="1:41" ht="48" customHeight="1" thickBot="1" x14ac:dyDescent="0.35">
      <c r="A10" s="22">
        <v>8</v>
      </c>
      <c r="B10" s="1"/>
      <c r="C10" s="2" t="s">
        <v>13</v>
      </c>
      <c r="D10" s="4"/>
      <c r="E10" s="5"/>
      <c r="F10" s="14">
        <f t="shared" si="6"/>
        <v>0</v>
      </c>
      <c r="G10" s="15">
        <f>IFERROR(VLOOKUP(F10,Sayfa1!C:D,2,TRUE),"")</f>
        <v>0</v>
      </c>
      <c r="H10" s="16">
        <f t="shared" si="0"/>
        <v>0</v>
      </c>
      <c r="I10" s="4"/>
      <c r="J10" s="5"/>
      <c r="K10" s="14">
        <f t="shared" si="7"/>
        <v>0</v>
      </c>
      <c r="L10" s="15">
        <f>IFERROR(VLOOKUP(K10,Sayfa1!C:D,2,TRUE),"")</f>
        <v>0</v>
      </c>
      <c r="M10" s="16">
        <f t="shared" si="1"/>
        <v>0</v>
      </c>
      <c r="N10" s="4"/>
      <c r="O10" s="5"/>
      <c r="P10" s="14">
        <f t="shared" si="8"/>
        <v>0</v>
      </c>
      <c r="Q10" s="15">
        <f>IFERROR(VLOOKUP(P10,Sayfa1!C:D,2,TRUE),"")</f>
        <v>0</v>
      </c>
      <c r="R10" s="16">
        <f t="shared" si="2"/>
        <v>0</v>
      </c>
      <c r="S10" s="4"/>
      <c r="T10" s="5"/>
      <c r="U10" s="14">
        <f t="shared" si="9"/>
        <v>0</v>
      </c>
      <c r="V10" s="15">
        <f>IFERROR(VLOOKUP(U10,Sayfa1!C:D,2,TRUE),"")</f>
        <v>0</v>
      </c>
      <c r="W10" s="16">
        <f t="shared" si="3"/>
        <v>0</v>
      </c>
      <c r="X10" s="4"/>
      <c r="Y10" s="5"/>
      <c r="Z10" s="14">
        <f t="shared" si="10"/>
        <v>0</v>
      </c>
      <c r="AA10" s="15">
        <f>IFERROR(VLOOKUP(Z10,Sayfa1!C:D,2,TRUE),"")</f>
        <v>0</v>
      </c>
      <c r="AB10" s="16">
        <f t="shared" si="4"/>
        <v>0</v>
      </c>
      <c r="AC10" s="4"/>
      <c r="AD10" s="5"/>
      <c r="AE10" s="14">
        <f t="shared" si="11"/>
        <v>0</v>
      </c>
      <c r="AF10" s="15">
        <f>IFERROR(VLOOKUP(AE10,Sayfa1!C:D,2,TRUE),"")</f>
        <v>0</v>
      </c>
      <c r="AG10" s="16">
        <f t="shared" si="5"/>
        <v>0</v>
      </c>
      <c r="AH10" s="4"/>
      <c r="AI10" s="5"/>
      <c r="AJ10" s="14">
        <f t="shared" si="12"/>
        <v>0</v>
      </c>
      <c r="AK10" s="15">
        <f>IFERROR(VLOOKUP(AJ10,Sayfa1!C:D,2,TRUE),"")</f>
        <v>0</v>
      </c>
      <c r="AL10" s="16">
        <f t="shared" si="13"/>
        <v>0</v>
      </c>
      <c r="AM10" s="17">
        <f t="shared" si="14"/>
        <v>0</v>
      </c>
      <c r="AN10" s="18">
        <f>IFERROR(AM10-(Sayfa1!$I$1/24),"")</f>
        <v>-1.875</v>
      </c>
      <c r="AO10" s="29"/>
    </row>
    <row r="11" spans="1:41" ht="48" customHeight="1" thickBot="1" x14ac:dyDescent="0.35">
      <c r="A11" s="22">
        <v>9</v>
      </c>
      <c r="B11" s="1"/>
      <c r="C11" s="2" t="s">
        <v>13</v>
      </c>
      <c r="D11" s="4"/>
      <c r="E11" s="5"/>
      <c r="F11" s="14">
        <f t="shared" si="6"/>
        <v>0</v>
      </c>
      <c r="G11" s="15">
        <f>IFERROR(VLOOKUP(F11,Sayfa1!C:D,2,TRUE),"")</f>
        <v>0</v>
      </c>
      <c r="H11" s="16">
        <f t="shared" si="0"/>
        <v>0</v>
      </c>
      <c r="I11" s="4"/>
      <c r="J11" s="5"/>
      <c r="K11" s="14">
        <f t="shared" si="7"/>
        <v>0</v>
      </c>
      <c r="L11" s="15">
        <f>IFERROR(VLOOKUP(K11,Sayfa1!C:D,2,TRUE),"")</f>
        <v>0</v>
      </c>
      <c r="M11" s="16">
        <f t="shared" si="1"/>
        <v>0</v>
      </c>
      <c r="N11" s="4"/>
      <c r="O11" s="5"/>
      <c r="P11" s="14">
        <f t="shared" si="8"/>
        <v>0</v>
      </c>
      <c r="Q11" s="15">
        <f>IFERROR(VLOOKUP(P11,Sayfa1!C:D,2,TRUE),"")</f>
        <v>0</v>
      </c>
      <c r="R11" s="16">
        <f t="shared" si="2"/>
        <v>0</v>
      </c>
      <c r="S11" s="4"/>
      <c r="T11" s="5"/>
      <c r="U11" s="14">
        <f t="shared" si="9"/>
        <v>0</v>
      </c>
      <c r="V11" s="15">
        <f>IFERROR(VLOOKUP(U11,Sayfa1!C:D,2,TRUE),"")</f>
        <v>0</v>
      </c>
      <c r="W11" s="16">
        <f t="shared" si="3"/>
        <v>0</v>
      </c>
      <c r="X11" s="4"/>
      <c r="Y11" s="5"/>
      <c r="Z11" s="14">
        <f t="shared" si="10"/>
        <v>0</v>
      </c>
      <c r="AA11" s="15">
        <f>IFERROR(VLOOKUP(Z11,Sayfa1!C:D,2,TRUE),"")</f>
        <v>0</v>
      </c>
      <c r="AB11" s="16">
        <f t="shared" si="4"/>
        <v>0</v>
      </c>
      <c r="AC11" s="4"/>
      <c r="AD11" s="5"/>
      <c r="AE11" s="14">
        <f t="shared" si="11"/>
        <v>0</v>
      </c>
      <c r="AF11" s="15">
        <f>IFERROR(VLOOKUP(AE11,Sayfa1!C:D,2,TRUE),"")</f>
        <v>0</v>
      </c>
      <c r="AG11" s="16">
        <f t="shared" si="5"/>
        <v>0</v>
      </c>
      <c r="AH11" s="4"/>
      <c r="AI11" s="5"/>
      <c r="AJ11" s="14">
        <f t="shared" si="12"/>
        <v>0</v>
      </c>
      <c r="AK11" s="15">
        <f>IFERROR(VLOOKUP(AJ11,Sayfa1!C:D,2,TRUE),"")</f>
        <v>0</v>
      </c>
      <c r="AL11" s="16">
        <f t="shared" si="13"/>
        <v>0</v>
      </c>
      <c r="AM11" s="17">
        <f t="shared" si="14"/>
        <v>0</v>
      </c>
      <c r="AN11" s="18">
        <f>IFERROR(AM11-(Sayfa1!$I$1/24),"")</f>
        <v>-1.875</v>
      </c>
      <c r="AO11" s="29"/>
    </row>
    <row r="12" spans="1:41" ht="48" customHeight="1" thickBot="1" x14ac:dyDescent="0.35">
      <c r="A12" s="22">
        <v>10</v>
      </c>
      <c r="B12" s="1"/>
      <c r="C12" s="2" t="s">
        <v>13</v>
      </c>
      <c r="D12" s="4"/>
      <c r="E12" s="5"/>
      <c r="F12" s="14">
        <f t="shared" si="6"/>
        <v>0</v>
      </c>
      <c r="G12" s="15">
        <f>IFERROR(VLOOKUP(F12,Sayfa1!C:D,2,TRUE),"")</f>
        <v>0</v>
      </c>
      <c r="H12" s="16">
        <f t="shared" si="0"/>
        <v>0</v>
      </c>
      <c r="I12" s="4"/>
      <c r="J12" s="5"/>
      <c r="K12" s="14">
        <f t="shared" si="7"/>
        <v>0</v>
      </c>
      <c r="L12" s="15">
        <f>IFERROR(VLOOKUP(K12,Sayfa1!C:D,2,TRUE),"")</f>
        <v>0</v>
      </c>
      <c r="M12" s="16">
        <f t="shared" si="1"/>
        <v>0</v>
      </c>
      <c r="N12" s="4"/>
      <c r="O12" s="5"/>
      <c r="P12" s="14">
        <f t="shared" si="8"/>
        <v>0</v>
      </c>
      <c r="Q12" s="15">
        <f>IFERROR(VLOOKUP(P12,Sayfa1!C:D,2,TRUE),"")</f>
        <v>0</v>
      </c>
      <c r="R12" s="16">
        <f t="shared" si="2"/>
        <v>0</v>
      </c>
      <c r="S12" s="4"/>
      <c r="T12" s="5"/>
      <c r="U12" s="14">
        <f t="shared" si="9"/>
        <v>0</v>
      </c>
      <c r="V12" s="15">
        <f>IFERROR(VLOOKUP(U12,Sayfa1!C:D,2,TRUE),"")</f>
        <v>0</v>
      </c>
      <c r="W12" s="16">
        <f t="shared" si="3"/>
        <v>0</v>
      </c>
      <c r="X12" s="4"/>
      <c r="Y12" s="5"/>
      <c r="Z12" s="14">
        <f t="shared" si="10"/>
        <v>0</v>
      </c>
      <c r="AA12" s="15">
        <f>IFERROR(VLOOKUP(Z12,Sayfa1!C:D,2,TRUE),"")</f>
        <v>0</v>
      </c>
      <c r="AB12" s="16">
        <f t="shared" si="4"/>
        <v>0</v>
      </c>
      <c r="AC12" s="4"/>
      <c r="AD12" s="5"/>
      <c r="AE12" s="14">
        <f t="shared" si="11"/>
        <v>0</v>
      </c>
      <c r="AF12" s="15">
        <f>IFERROR(VLOOKUP(AE12,Sayfa1!C:D,2,TRUE),"")</f>
        <v>0</v>
      </c>
      <c r="AG12" s="16">
        <f t="shared" si="5"/>
        <v>0</v>
      </c>
      <c r="AH12" s="4"/>
      <c r="AI12" s="5"/>
      <c r="AJ12" s="14">
        <f t="shared" si="12"/>
        <v>0</v>
      </c>
      <c r="AK12" s="15">
        <f>IFERROR(VLOOKUP(AJ12,Sayfa1!C:D,2,TRUE),"")</f>
        <v>0</v>
      </c>
      <c r="AL12" s="16">
        <f t="shared" si="13"/>
        <v>0</v>
      </c>
      <c r="AM12" s="17">
        <f t="shared" si="14"/>
        <v>0</v>
      </c>
      <c r="AN12" s="18">
        <f>IFERROR(AM12-(Sayfa1!$I$1/24),"")</f>
        <v>-1.875</v>
      </c>
      <c r="AO12" s="29"/>
    </row>
    <row r="13" spans="1:41" ht="48" customHeight="1" thickBot="1" x14ac:dyDescent="0.35">
      <c r="A13" s="22">
        <v>11</v>
      </c>
      <c r="B13" s="1"/>
      <c r="C13" s="2" t="s">
        <v>13</v>
      </c>
      <c r="D13" s="4"/>
      <c r="E13" s="5"/>
      <c r="F13" s="14">
        <f t="shared" si="6"/>
        <v>0</v>
      </c>
      <c r="G13" s="15">
        <f>IFERROR(VLOOKUP(F13,Sayfa1!C:D,2,TRUE),"")</f>
        <v>0</v>
      </c>
      <c r="H13" s="16">
        <f t="shared" si="0"/>
        <v>0</v>
      </c>
      <c r="I13" s="4"/>
      <c r="J13" s="5"/>
      <c r="K13" s="14">
        <f t="shared" si="7"/>
        <v>0</v>
      </c>
      <c r="L13" s="15">
        <f>IFERROR(VLOOKUP(K13,Sayfa1!C:D,2,TRUE),"")</f>
        <v>0</v>
      </c>
      <c r="M13" s="16">
        <f t="shared" si="1"/>
        <v>0</v>
      </c>
      <c r="N13" s="4"/>
      <c r="O13" s="5"/>
      <c r="P13" s="14">
        <f t="shared" si="8"/>
        <v>0</v>
      </c>
      <c r="Q13" s="15">
        <f>IFERROR(VLOOKUP(P13,Sayfa1!C:D,2,TRUE),"")</f>
        <v>0</v>
      </c>
      <c r="R13" s="16">
        <f t="shared" si="2"/>
        <v>0</v>
      </c>
      <c r="S13" s="4"/>
      <c r="T13" s="5"/>
      <c r="U13" s="14">
        <f t="shared" si="9"/>
        <v>0</v>
      </c>
      <c r="V13" s="15">
        <f>IFERROR(VLOOKUP(U13,Sayfa1!C:D,2,TRUE),"")</f>
        <v>0</v>
      </c>
      <c r="W13" s="16">
        <f t="shared" si="3"/>
        <v>0</v>
      </c>
      <c r="X13" s="4"/>
      <c r="Y13" s="5"/>
      <c r="Z13" s="14">
        <f t="shared" si="10"/>
        <v>0</v>
      </c>
      <c r="AA13" s="15">
        <f>IFERROR(VLOOKUP(Z13,Sayfa1!C:D,2,TRUE),"")</f>
        <v>0</v>
      </c>
      <c r="AB13" s="16">
        <f t="shared" si="4"/>
        <v>0</v>
      </c>
      <c r="AC13" s="4"/>
      <c r="AD13" s="5"/>
      <c r="AE13" s="14">
        <f t="shared" si="11"/>
        <v>0</v>
      </c>
      <c r="AF13" s="15">
        <f>IFERROR(VLOOKUP(AE13,Sayfa1!C:D,2,TRUE),"")</f>
        <v>0</v>
      </c>
      <c r="AG13" s="16">
        <f t="shared" si="5"/>
        <v>0</v>
      </c>
      <c r="AH13" s="4"/>
      <c r="AI13" s="5"/>
      <c r="AJ13" s="14">
        <f t="shared" si="12"/>
        <v>0</v>
      </c>
      <c r="AK13" s="15">
        <f>IFERROR(VLOOKUP(AJ13,Sayfa1!C:D,2,TRUE),"")</f>
        <v>0</v>
      </c>
      <c r="AL13" s="16">
        <f t="shared" si="13"/>
        <v>0</v>
      </c>
      <c r="AM13" s="17">
        <f t="shared" si="14"/>
        <v>0</v>
      </c>
      <c r="AN13" s="18">
        <f>IFERROR(AM13-(Sayfa1!$I$1/24),"")</f>
        <v>-1.875</v>
      </c>
      <c r="AO13" s="29"/>
    </row>
    <row r="14" spans="1:41" ht="48" customHeight="1" thickBot="1" x14ac:dyDescent="0.35">
      <c r="A14" s="23">
        <v>12</v>
      </c>
      <c r="B14" s="24"/>
      <c r="C14" s="2" t="s">
        <v>13</v>
      </c>
      <c r="D14" s="4"/>
      <c r="E14" s="5"/>
      <c r="F14" s="14">
        <f t="shared" si="6"/>
        <v>0</v>
      </c>
      <c r="G14" s="15">
        <f>IFERROR(VLOOKUP(F14,Sayfa1!C:D,2,TRUE),"")</f>
        <v>0</v>
      </c>
      <c r="H14" s="16">
        <f t="shared" si="0"/>
        <v>0</v>
      </c>
      <c r="I14" s="4"/>
      <c r="J14" s="5"/>
      <c r="K14" s="14">
        <f t="shared" si="7"/>
        <v>0</v>
      </c>
      <c r="L14" s="15">
        <f>IFERROR(VLOOKUP(K14,Sayfa1!C:D,2,TRUE),"")</f>
        <v>0</v>
      </c>
      <c r="M14" s="16">
        <f t="shared" si="1"/>
        <v>0</v>
      </c>
      <c r="N14" s="4"/>
      <c r="O14" s="5"/>
      <c r="P14" s="14">
        <f t="shared" si="8"/>
        <v>0</v>
      </c>
      <c r="Q14" s="15">
        <f>IFERROR(VLOOKUP(P14,Sayfa1!C:D,2,TRUE),"")</f>
        <v>0</v>
      </c>
      <c r="R14" s="16">
        <f t="shared" si="2"/>
        <v>0</v>
      </c>
      <c r="S14" s="4"/>
      <c r="T14" s="5"/>
      <c r="U14" s="14">
        <f t="shared" si="9"/>
        <v>0</v>
      </c>
      <c r="V14" s="15">
        <f>IFERROR(VLOOKUP(U14,Sayfa1!C:D,2,TRUE),"")</f>
        <v>0</v>
      </c>
      <c r="W14" s="16">
        <f t="shared" si="3"/>
        <v>0</v>
      </c>
      <c r="X14" s="4"/>
      <c r="Y14" s="5"/>
      <c r="Z14" s="14">
        <f t="shared" si="10"/>
        <v>0</v>
      </c>
      <c r="AA14" s="15">
        <f>IFERROR(VLOOKUP(Z14,Sayfa1!C:D,2,TRUE),"")</f>
        <v>0</v>
      </c>
      <c r="AB14" s="16">
        <f t="shared" si="4"/>
        <v>0</v>
      </c>
      <c r="AC14" s="4"/>
      <c r="AD14" s="5"/>
      <c r="AE14" s="14">
        <f t="shared" si="11"/>
        <v>0</v>
      </c>
      <c r="AF14" s="15">
        <f>IFERROR(VLOOKUP(AE14,Sayfa1!C:D,2,TRUE),"")</f>
        <v>0</v>
      </c>
      <c r="AG14" s="16">
        <f t="shared" si="5"/>
        <v>0</v>
      </c>
      <c r="AH14" s="4"/>
      <c r="AI14" s="5"/>
      <c r="AJ14" s="14">
        <f t="shared" si="12"/>
        <v>0</v>
      </c>
      <c r="AK14" s="15">
        <f>IFERROR(VLOOKUP(AJ14,Sayfa1!C:D,2,TRUE),"")</f>
        <v>0</v>
      </c>
      <c r="AL14" s="16">
        <f t="shared" si="13"/>
        <v>0</v>
      </c>
      <c r="AM14" s="17">
        <f t="shared" si="14"/>
        <v>0</v>
      </c>
      <c r="AN14" s="18">
        <f>IFERROR(AM14-(Sayfa1!$I$1/24),"")</f>
        <v>-1.875</v>
      </c>
      <c r="AO14" s="29"/>
    </row>
    <row r="15" spans="1:41" ht="15" thickTop="1" x14ac:dyDescent="0.3"/>
    <row r="19" spans="1:25" ht="15" thickBot="1" x14ac:dyDescent="0.35"/>
    <row r="20" spans="1:25" ht="55.05" customHeight="1" thickTop="1" thickBot="1" x14ac:dyDescent="0.35">
      <c r="A20" s="25" t="s">
        <v>0</v>
      </c>
      <c r="B20" s="28" t="s">
        <v>4</v>
      </c>
      <c r="C20" s="40" t="s">
        <v>18</v>
      </c>
      <c r="D20" s="40"/>
      <c r="E20" s="40" t="s">
        <v>15</v>
      </c>
      <c r="F20" s="40"/>
      <c r="G20" s="40" t="s">
        <v>16</v>
      </c>
      <c r="H20" s="40"/>
      <c r="I20" s="40" t="s">
        <v>17</v>
      </c>
      <c r="J20" s="41"/>
      <c r="L20" s="42" t="s">
        <v>20</v>
      </c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4"/>
    </row>
    <row r="21" spans="1:25" ht="48" customHeight="1" thickBot="1" x14ac:dyDescent="0.35">
      <c r="A21" s="22">
        <v>1</v>
      </c>
      <c r="B21" s="26" t="s">
        <v>32</v>
      </c>
      <c r="C21" s="36">
        <v>63</v>
      </c>
      <c r="D21" s="36"/>
      <c r="E21" s="36">
        <v>0</v>
      </c>
      <c r="F21" s="36"/>
      <c r="G21" s="36"/>
      <c r="H21" s="36"/>
      <c r="I21" s="36">
        <v>63</v>
      </c>
      <c r="J21" s="37"/>
      <c r="L21" s="22">
        <v>1</v>
      </c>
      <c r="M21" s="38" t="s">
        <v>21</v>
      </c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9"/>
    </row>
    <row r="22" spans="1:25" ht="48" customHeight="1" thickBot="1" x14ac:dyDescent="0.35">
      <c r="A22" s="22">
        <v>2</v>
      </c>
      <c r="B22" s="26" t="s">
        <v>40</v>
      </c>
      <c r="C22" s="36">
        <v>4</v>
      </c>
      <c r="D22" s="36"/>
      <c r="E22" s="36">
        <v>0</v>
      </c>
      <c r="F22" s="36"/>
      <c r="G22" s="36"/>
      <c r="H22" s="36"/>
      <c r="I22" s="36">
        <v>6</v>
      </c>
      <c r="J22" s="37"/>
      <c r="L22" s="22">
        <v>2</v>
      </c>
      <c r="M22" s="38" t="s">
        <v>22</v>
      </c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9"/>
    </row>
    <row r="23" spans="1:25" ht="48" customHeight="1" thickBot="1" x14ac:dyDescent="0.35">
      <c r="A23" s="22">
        <v>3</v>
      </c>
      <c r="B23" s="26" t="s">
        <v>34</v>
      </c>
      <c r="C23" s="36">
        <v>-2</v>
      </c>
      <c r="D23" s="36"/>
      <c r="E23" s="36">
        <v>2</v>
      </c>
      <c r="F23" s="36"/>
      <c r="G23" s="36"/>
      <c r="H23" s="36"/>
      <c r="I23" s="36">
        <v>0</v>
      </c>
      <c r="J23" s="37"/>
      <c r="L23" s="22">
        <v>3</v>
      </c>
      <c r="M23" s="38" t="s">
        <v>28</v>
      </c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9"/>
    </row>
    <row r="24" spans="1:25" ht="48" customHeight="1" thickBot="1" x14ac:dyDescent="0.35">
      <c r="A24" s="22">
        <v>4</v>
      </c>
      <c r="B24" s="26" t="s">
        <v>35</v>
      </c>
      <c r="C24" s="36">
        <v>9</v>
      </c>
      <c r="D24" s="36"/>
      <c r="E24" s="36">
        <v>0</v>
      </c>
      <c r="F24" s="36"/>
      <c r="G24" s="36"/>
      <c r="H24" s="36"/>
      <c r="I24" s="36">
        <v>9</v>
      </c>
      <c r="J24" s="37"/>
      <c r="L24" s="22">
        <v>4</v>
      </c>
      <c r="M24" s="38" t="s">
        <v>29</v>
      </c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9"/>
    </row>
    <row r="25" spans="1:25" ht="48" customHeight="1" thickBot="1" x14ac:dyDescent="0.35">
      <c r="A25" s="22">
        <v>5</v>
      </c>
      <c r="B25" s="26" t="s">
        <v>38</v>
      </c>
      <c r="C25" s="36">
        <v>0</v>
      </c>
      <c r="D25" s="36"/>
      <c r="E25" s="36">
        <v>0</v>
      </c>
      <c r="F25" s="36"/>
      <c r="G25" s="36"/>
      <c r="H25" s="36"/>
      <c r="I25" s="36">
        <v>0</v>
      </c>
      <c r="J25" s="37"/>
      <c r="L25" s="22">
        <v>5</v>
      </c>
      <c r="M25" s="38" t="s">
        <v>27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9"/>
    </row>
    <row r="26" spans="1:25" ht="48" customHeight="1" thickBot="1" x14ac:dyDescent="0.35">
      <c r="A26" s="22">
        <v>6</v>
      </c>
      <c r="B26" s="26" t="s">
        <v>39</v>
      </c>
      <c r="C26" s="36">
        <v>0</v>
      </c>
      <c r="D26" s="36"/>
      <c r="E26" s="36">
        <v>-5</v>
      </c>
      <c r="F26" s="36"/>
      <c r="G26" s="36"/>
      <c r="H26" s="36"/>
      <c r="I26" s="36">
        <f t="shared" ref="I26" si="15">SUM(C26:F26)</f>
        <v>-5</v>
      </c>
      <c r="J26" s="37"/>
      <c r="L26" s="22">
        <v>6</v>
      </c>
      <c r="M26" s="38" t="s">
        <v>26</v>
      </c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9"/>
    </row>
    <row r="27" spans="1:25" ht="48" customHeight="1" thickBot="1" x14ac:dyDescent="0.35">
      <c r="A27" s="22">
        <v>7</v>
      </c>
      <c r="B27" s="26"/>
      <c r="C27" s="36"/>
      <c r="D27" s="36"/>
      <c r="E27" s="36"/>
      <c r="F27" s="36"/>
      <c r="G27" s="36"/>
      <c r="H27" s="36"/>
      <c r="I27" s="36"/>
      <c r="J27" s="37"/>
      <c r="L27" s="22">
        <v>7</v>
      </c>
      <c r="M27" s="38" t="s">
        <v>24</v>
      </c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9"/>
    </row>
    <row r="28" spans="1:25" ht="48" customHeight="1" thickBot="1" x14ac:dyDescent="0.35">
      <c r="A28" s="22">
        <v>8</v>
      </c>
      <c r="B28" s="26"/>
      <c r="C28" s="36"/>
      <c r="D28" s="36"/>
      <c r="E28" s="36"/>
      <c r="F28" s="36"/>
      <c r="G28" s="36"/>
      <c r="H28" s="36"/>
      <c r="I28" s="36"/>
      <c r="J28" s="37"/>
      <c r="L28" s="22">
        <v>8</v>
      </c>
      <c r="M28" s="38" t="s">
        <v>23</v>
      </c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9"/>
    </row>
    <row r="29" spans="1:25" ht="48" customHeight="1" thickBot="1" x14ac:dyDescent="0.35">
      <c r="A29" s="22">
        <v>9</v>
      </c>
      <c r="B29" s="26"/>
      <c r="C29" s="36"/>
      <c r="D29" s="36"/>
      <c r="E29" s="36"/>
      <c r="F29" s="36"/>
      <c r="G29" s="36"/>
      <c r="H29" s="36"/>
      <c r="I29" s="36"/>
      <c r="J29" s="37"/>
      <c r="L29" s="22">
        <v>9</v>
      </c>
      <c r="M29" s="38" t="s">
        <v>25</v>
      </c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9"/>
    </row>
    <row r="30" spans="1:25" ht="48" customHeight="1" thickBot="1" x14ac:dyDescent="0.35">
      <c r="A30" s="23">
        <v>10</v>
      </c>
      <c r="B30" s="27"/>
      <c r="C30" s="32"/>
      <c r="D30" s="32"/>
      <c r="E30" s="32"/>
      <c r="F30" s="32"/>
      <c r="G30" s="32"/>
      <c r="H30" s="32"/>
      <c r="I30" s="32"/>
      <c r="J30" s="33"/>
      <c r="L30" s="23">
        <v>10</v>
      </c>
      <c r="M30" s="34" t="s">
        <v>30</v>
      </c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5"/>
    </row>
    <row r="31" spans="1:25" ht="15" thickTop="1" x14ac:dyDescent="0.3"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5" spans="13:13" x14ac:dyDescent="0.3">
      <c r="M35" s="31"/>
    </row>
  </sheetData>
  <sheetProtection algorithmName="SHA-512" hashValue="U3Tmx2YyB3XG4SVBKwfISq9/jTRLK2cD8gXp748nG+M4PPHPsPIxOAihGM5XSkk9lMobEa7xinc765zRe6/n5Q==" saltValue="SfD1bj5UKp8cnwToAQeRRA==" spinCount="100000" sheet="1" objects="1" scenarios="1"/>
  <mergeCells count="67">
    <mergeCell ref="AO1:AO2"/>
    <mergeCell ref="A1:A2"/>
    <mergeCell ref="B1:B2"/>
    <mergeCell ref="C1:C2"/>
    <mergeCell ref="D1:H1"/>
    <mergeCell ref="I1:M1"/>
    <mergeCell ref="N1:R1"/>
    <mergeCell ref="S1:W1"/>
    <mergeCell ref="X1:AB1"/>
    <mergeCell ref="AC1:AG1"/>
    <mergeCell ref="AH1:AL1"/>
    <mergeCell ref="AM1:AN1"/>
    <mergeCell ref="C21:D21"/>
    <mergeCell ref="E21:F21"/>
    <mergeCell ref="G21:H21"/>
    <mergeCell ref="I21:J21"/>
    <mergeCell ref="M21:Y21"/>
    <mergeCell ref="C20:D20"/>
    <mergeCell ref="E20:F20"/>
    <mergeCell ref="G20:H20"/>
    <mergeCell ref="I20:J20"/>
    <mergeCell ref="L20:Y20"/>
    <mergeCell ref="C23:D23"/>
    <mergeCell ref="E23:F23"/>
    <mergeCell ref="G23:H23"/>
    <mergeCell ref="I23:J23"/>
    <mergeCell ref="M23:Y23"/>
    <mergeCell ref="C22:D22"/>
    <mergeCell ref="E22:F22"/>
    <mergeCell ref="G22:H22"/>
    <mergeCell ref="I22:J22"/>
    <mergeCell ref="M22:Y22"/>
    <mergeCell ref="C25:D25"/>
    <mergeCell ref="E25:F25"/>
    <mergeCell ref="G25:H25"/>
    <mergeCell ref="I25:J25"/>
    <mergeCell ref="M25:Y25"/>
    <mergeCell ref="C24:D24"/>
    <mergeCell ref="E24:F24"/>
    <mergeCell ref="G24:H24"/>
    <mergeCell ref="I24:J24"/>
    <mergeCell ref="M24:Y24"/>
    <mergeCell ref="C27:D27"/>
    <mergeCell ref="E27:F27"/>
    <mergeCell ref="G27:H27"/>
    <mergeCell ref="I27:J27"/>
    <mergeCell ref="M27:Y27"/>
    <mergeCell ref="C26:D26"/>
    <mergeCell ref="E26:F26"/>
    <mergeCell ref="G26:H26"/>
    <mergeCell ref="I26:J26"/>
    <mergeCell ref="M26:Y26"/>
    <mergeCell ref="C29:D29"/>
    <mergeCell ref="E29:F29"/>
    <mergeCell ref="G29:H29"/>
    <mergeCell ref="I29:J29"/>
    <mergeCell ref="M29:Y29"/>
    <mergeCell ref="C28:D28"/>
    <mergeCell ref="E28:F28"/>
    <mergeCell ref="G28:H28"/>
    <mergeCell ref="I28:J28"/>
    <mergeCell ref="M28:Y28"/>
    <mergeCell ref="C30:D30"/>
    <mergeCell ref="E30:F30"/>
    <mergeCell ref="G30:H30"/>
    <mergeCell ref="I30:J30"/>
    <mergeCell ref="M30:Y30"/>
  </mergeCells>
  <printOptions horizontalCentered="1" verticalCentered="1"/>
  <pageMargins left="0" right="0" top="0" bottom="0" header="0" footer="0"/>
  <pageSetup paperSize="9" scale="2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0684E3-CE9E-4C88-9988-669068FD4AD0}">
          <x14:formula1>
            <xm:f>Sayfa1!$A$1:$A$48</xm:f>
          </x14:formula1>
          <xm:sqref>D3:E14 AC3:AD14 X3:Y14 S3:T14 N3:O14 I3:J14 AH3:AI14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425B-9E96-49E8-AF50-59E1FEEAE786}">
  <dimension ref="A1:I48"/>
  <sheetViews>
    <sheetView workbookViewId="0">
      <selection activeCell="C1" sqref="C1:D28"/>
    </sheetView>
  </sheetViews>
  <sheetFormatPr defaultRowHeight="14.4" x14ac:dyDescent="0.3"/>
  <sheetData>
    <row r="1" spans="1:9" x14ac:dyDescent="0.3">
      <c r="A1" s="3">
        <v>0</v>
      </c>
      <c r="C1" s="3">
        <v>0.16666666666666666</v>
      </c>
      <c r="D1" s="3">
        <v>2.0833333333333332E-2</v>
      </c>
      <c r="H1" t="s">
        <v>9</v>
      </c>
      <c r="I1" s="6">
        <v>45</v>
      </c>
    </row>
    <row r="2" spans="1:9" x14ac:dyDescent="0.3">
      <c r="A2" s="3">
        <v>2.0833333333333332E-2</v>
      </c>
      <c r="C2" s="3">
        <v>0</v>
      </c>
      <c r="D2" s="3">
        <v>0</v>
      </c>
    </row>
    <row r="3" spans="1:9" x14ac:dyDescent="0.3">
      <c r="A3" s="3">
        <v>4.1666666666666699E-2</v>
      </c>
      <c r="C3" s="3">
        <v>0.1875</v>
      </c>
      <c r="D3" s="3">
        <v>2.0833333333333332E-2</v>
      </c>
    </row>
    <row r="4" spans="1:9" x14ac:dyDescent="0.3">
      <c r="A4" s="3">
        <v>6.25E-2</v>
      </c>
      <c r="C4" s="3">
        <v>0.20833333333333301</v>
      </c>
      <c r="D4" s="3">
        <v>2.0833333333333332E-2</v>
      </c>
    </row>
    <row r="5" spans="1:9" x14ac:dyDescent="0.3">
      <c r="A5" s="3">
        <v>8.3333333333333301E-2</v>
      </c>
      <c r="C5" s="3">
        <v>0.22916666666666699</v>
      </c>
      <c r="D5" s="3">
        <v>2.0833333333333332E-2</v>
      </c>
    </row>
    <row r="6" spans="1:9" x14ac:dyDescent="0.3">
      <c r="A6" s="3">
        <v>0.104166666666667</v>
      </c>
      <c r="C6" s="3">
        <v>0.25</v>
      </c>
      <c r="D6" s="3">
        <v>4.1666666666666664E-2</v>
      </c>
    </row>
    <row r="7" spans="1:9" x14ac:dyDescent="0.3">
      <c r="A7" s="3">
        <v>0.125</v>
      </c>
      <c r="C7" s="3">
        <v>0.27083333333333298</v>
      </c>
      <c r="D7" s="3">
        <v>4.1666666666666664E-2</v>
      </c>
    </row>
    <row r="8" spans="1:9" x14ac:dyDescent="0.3">
      <c r="A8" s="3">
        <v>0.14583333333333301</v>
      </c>
      <c r="C8" s="3">
        <v>0.29166666666666702</v>
      </c>
      <c r="D8" s="3">
        <v>4.1666666666666664E-2</v>
      </c>
    </row>
    <row r="9" spans="1:9" x14ac:dyDescent="0.3">
      <c r="A9" s="3">
        <v>0.16666666666666699</v>
      </c>
      <c r="C9" s="3">
        <v>0.3125</v>
      </c>
      <c r="D9" s="3">
        <v>4.1666666666666664E-2</v>
      </c>
    </row>
    <row r="10" spans="1:9" x14ac:dyDescent="0.3">
      <c r="A10" s="3">
        <v>0.1875</v>
      </c>
      <c r="C10" s="3">
        <v>0.33333333333333298</v>
      </c>
      <c r="D10" s="3">
        <v>4.1666666666666664E-2</v>
      </c>
    </row>
    <row r="11" spans="1:9" x14ac:dyDescent="0.3">
      <c r="A11" s="3">
        <v>0.20833333333333301</v>
      </c>
      <c r="C11" s="3">
        <v>0.35416666666666702</v>
      </c>
      <c r="D11" s="3">
        <v>6.25E-2</v>
      </c>
    </row>
    <row r="12" spans="1:9" x14ac:dyDescent="0.3">
      <c r="A12" s="3">
        <v>0.22916666666666699</v>
      </c>
      <c r="C12" s="3">
        <v>0.375</v>
      </c>
      <c r="D12" s="3">
        <v>6.25E-2</v>
      </c>
    </row>
    <row r="13" spans="1:9" x14ac:dyDescent="0.3">
      <c r="A13" s="3">
        <v>0.25</v>
      </c>
      <c r="C13" s="3">
        <v>0.39583333333333298</v>
      </c>
      <c r="D13" s="3">
        <v>6.25E-2</v>
      </c>
    </row>
    <row r="14" spans="1:9" x14ac:dyDescent="0.3">
      <c r="A14" s="3">
        <v>0.27083333333333298</v>
      </c>
      <c r="C14" s="3">
        <v>0.41666666666666702</v>
      </c>
      <c r="D14" s="3">
        <v>6.25E-2</v>
      </c>
    </row>
    <row r="15" spans="1:9" x14ac:dyDescent="0.3">
      <c r="A15" s="3">
        <v>0.29166666666666702</v>
      </c>
      <c r="C15" s="3">
        <v>0.4375</v>
      </c>
      <c r="D15" s="3">
        <v>6.25E-2</v>
      </c>
    </row>
    <row r="16" spans="1:9" x14ac:dyDescent="0.3">
      <c r="A16" s="3">
        <v>0.3125</v>
      </c>
      <c r="C16" s="3">
        <v>0.45833333333333298</v>
      </c>
      <c r="D16" s="3">
        <v>6.25E-2</v>
      </c>
    </row>
    <row r="17" spans="1:4" x14ac:dyDescent="0.3">
      <c r="A17" s="3">
        <v>0.33333333333333298</v>
      </c>
      <c r="C17" s="3">
        <v>0.47916666666666702</v>
      </c>
      <c r="D17" s="3">
        <v>8.3333333333333329E-2</v>
      </c>
    </row>
    <row r="18" spans="1:4" x14ac:dyDescent="0.3">
      <c r="A18" s="3">
        <v>0.35416666666666702</v>
      </c>
      <c r="C18" s="3">
        <v>0.5</v>
      </c>
      <c r="D18" s="3">
        <v>8.3333333333333329E-2</v>
      </c>
    </row>
    <row r="19" spans="1:4" x14ac:dyDescent="0.3">
      <c r="A19" s="3">
        <v>0.375</v>
      </c>
      <c r="C19" s="3">
        <v>0.52083333333333304</v>
      </c>
      <c r="D19" s="3">
        <v>8.3333333333333329E-2</v>
      </c>
    </row>
    <row r="20" spans="1:4" x14ac:dyDescent="0.3">
      <c r="A20" s="3">
        <v>0.39583333333333298</v>
      </c>
      <c r="C20" s="3">
        <v>0.54166666666666696</v>
      </c>
      <c r="D20" s="3">
        <v>8.3333333333333329E-2</v>
      </c>
    </row>
    <row r="21" spans="1:4" x14ac:dyDescent="0.3">
      <c r="A21" s="3">
        <v>0.41666666666666702</v>
      </c>
      <c r="C21" s="3">
        <v>0.5625</v>
      </c>
      <c r="D21" s="3">
        <v>8.3333333333333329E-2</v>
      </c>
    </row>
    <row r="22" spans="1:4" x14ac:dyDescent="0.3">
      <c r="A22" s="3">
        <v>0.4375</v>
      </c>
      <c r="C22" s="3">
        <v>0.58333333333333304</v>
      </c>
      <c r="D22" s="3">
        <v>8.3333333333333329E-2</v>
      </c>
    </row>
    <row r="23" spans="1:4" x14ac:dyDescent="0.3">
      <c r="A23" s="3">
        <v>0.45833333333333298</v>
      </c>
      <c r="C23" s="3">
        <v>0.60416666666666696</v>
      </c>
      <c r="D23" s="3">
        <v>0.10416666666666667</v>
      </c>
    </row>
    <row r="24" spans="1:4" x14ac:dyDescent="0.3">
      <c r="A24" s="3">
        <v>0.47916666666666702</v>
      </c>
      <c r="C24" s="3">
        <v>0.625</v>
      </c>
      <c r="D24" s="3">
        <v>0.10416666666666667</v>
      </c>
    </row>
    <row r="25" spans="1:4" x14ac:dyDescent="0.3">
      <c r="A25" s="3">
        <v>0.5</v>
      </c>
      <c r="C25" s="3">
        <v>0.64583333333333304</v>
      </c>
      <c r="D25" s="3">
        <v>0.10416666666666667</v>
      </c>
    </row>
    <row r="26" spans="1:4" x14ac:dyDescent="0.3">
      <c r="A26" s="3">
        <v>0.52083333333333304</v>
      </c>
      <c r="C26" s="3">
        <v>0.66666666666666696</v>
      </c>
      <c r="D26" s="3">
        <v>0.10416666666666667</v>
      </c>
    </row>
    <row r="27" spans="1:4" x14ac:dyDescent="0.3">
      <c r="A27" s="3">
        <v>0.54166666666666696</v>
      </c>
      <c r="C27" s="3">
        <v>0.6875</v>
      </c>
      <c r="D27" s="3">
        <v>0.10416666666666667</v>
      </c>
    </row>
    <row r="28" spans="1:4" x14ac:dyDescent="0.3">
      <c r="A28" s="3">
        <v>0.5625</v>
      </c>
      <c r="C28" s="3">
        <v>0.70833333333333304</v>
      </c>
      <c r="D28" s="3">
        <v>0.10416666666666667</v>
      </c>
    </row>
    <row r="29" spans="1:4" x14ac:dyDescent="0.3">
      <c r="A29" s="3">
        <v>0.58333333333333304</v>
      </c>
      <c r="C29" s="3"/>
      <c r="D29" s="3"/>
    </row>
    <row r="30" spans="1:4" x14ac:dyDescent="0.3">
      <c r="A30" s="3">
        <v>0.60416666666666696</v>
      </c>
      <c r="C30" s="3"/>
    </row>
    <row r="31" spans="1:4" x14ac:dyDescent="0.3">
      <c r="A31" s="3">
        <v>0.625</v>
      </c>
      <c r="C31" s="3"/>
    </row>
    <row r="32" spans="1:4" x14ac:dyDescent="0.3">
      <c r="A32" s="3">
        <v>0.64583333333333304</v>
      </c>
      <c r="C32" s="3"/>
    </row>
    <row r="33" spans="1:3" x14ac:dyDescent="0.3">
      <c r="A33" s="3">
        <v>0.66666666666666696</v>
      </c>
      <c r="C33" s="3"/>
    </row>
    <row r="34" spans="1:3" x14ac:dyDescent="0.3">
      <c r="A34" s="3">
        <v>0.6875</v>
      </c>
      <c r="C34" s="3"/>
    </row>
    <row r="35" spans="1:3" x14ac:dyDescent="0.3">
      <c r="A35" s="3">
        <v>0.70833333333333304</v>
      </c>
      <c r="C35" s="3"/>
    </row>
    <row r="36" spans="1:3" x14ac:dyDescent="0.3">
      <c r="A36" s="3">
        <v>0.72916666666666696</v>
      </c>
      <c r="C36" s="3"/>
    </row>
    <row r="37" spans="1:3" x14ac:dyDescent="0.3">
      <c r="A37" s="3">
        <v>0.75</v>
      </c>
      <c r="C37" s="3"/>
    </row>
    <row r="38" spans="1:3" x14ac:dyDescent="0.3">
      <c r="A38" s="3">
        <v>0.77083333333333304</v>
      </c>
      <c r="C38" s="3"/>
    </row>
    <row r="39" spans="1:3" x14ac:dyDescent="0.3">
      <c r="A39" s="3">
        <v>0.79166666666666696</v>
      </c>
      <c r="C39" s="3"/>
    </row>
    <row r="40" spans="1:3" x14ac:dyDescent="0.3">
      <c r="A40" s="3">
        <v>0.8125</v>
      </c>
      <c r="C40" s="3"/>
    </row>
    <row r="41" spans="1:3" x14ac:dyDescent="0.3">
      <c r="A41" s="3">
        <v>0.83333333333333304</v>
      </c>
      <c r="C41" s="3"/>
    </row>
    <row r="42" spans="1:3" x14ac:dyDescent="0.3">
      <c r="A42" s="3">
        <v>0.85416666666666696</v>
      </c>
      <c r="C42" s="3"/>
    </row>
    <row r="43" spans="1:3" x14ac:dyDescent="0.3">
      <c r="A43" s="3">
        <v>0.875</v>
      </c>
    </row>
    <row r="44" spans="1:3" x14ac:dyDescent="0.3">
      <c r="A44" s="3">
        <v>0.89583333333333304</v>
      </c>
    </row>
    <row r="45" spans="1:3" x14ac:dyDescent="0.3">
      <c r="A45" s="3">
        <v>0.91666666666666696</v>
      </c>
    </row>
    <row r="46" spans="1:3" x14ac:dyDescent="0.3">
      <c r="A46" s="3">
        <v>0.9375</v>
      </c>
    </row>
    <row r="47" spans="1:3" x14ac:dyDescent="0.3">
      <c r="A47" s="3">
        <v>0.95833333333333304</v>
      </c>
    </row>
    <row r="48" spans="1:3" x14ac:dyDescent="0.3">
      <c r="A48" s="3">
        <v>0.97916666666666696</v>
      </c>
    </row>
  </sheetData>
  <sortState xmlns:xlrd2="http://schemas.microsoft.com/office/spreadsheetml/2017/richdata2" ref="C1:C42">
    <sortCondition ref="C1:C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MOLA SAATLERİ</vt:lpstr>
      <vt:lpstr>W36</vt:lpstr>
      <vt:lpstr>W37</vt:lpstr>
      <vt:lpstr>W38</vt:lpstr>
      <vt:lpstr>W39</vt:lpstr>
      <vt:lpstr>W40</vt:lpstr>
      <vt:lpstr>W41</vt:lpstr>
      <vt:lpstr>W42</vt:lpstr>
      <vt:lpstr>W43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Bayrampasa</dc:creator>
  <cp:lastModifiedBy>Mustafa Berat Dağıtmaç</cp:lastModifiedBy>
  <cp:lastPrinted>2026-08-24T11:42:27Z</cp:lastPrinted>
  <dcterms:created xsi:type="dcterms:W3CDTF">2015-09-14T14:57:41Z</dcterms:created>
  <dcterms:modified xsi:type="dcterms:W3CDTF">2026-10-18T09:37:41Z</dcterms:modified>
</cp:coreProperties>
</file>