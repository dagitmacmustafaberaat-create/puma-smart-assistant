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6F771AF7-B270-478A-B9A5-B8FB922B1E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<sst xmlns="http://schemas.openxmlformats.org/spreadsheetml/2006/main" count="55" uniqueCount="34">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</sst>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zoomScale="50" zoomScaleNormal="50" workbookViewId="0">
      <selection activeCell="A13" sqref="A13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22</v>
      </c>
      <c r="D5" s="7"/>
      <c r="E5" s="7"/>
      <c r="F5" s="7"/>
      <c r="H5" s="13" t="s">
        <v>5</v>
      </c>
      <c r="I5" s="14">
        <v>966530</v>
      </c>
      <c r="J5" s="14">
        <v>689858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-0.28625288402843163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1139590</v>
      </c>
      <c r="J8" s="14">
        <v>1022206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-0.1030054668784387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61359</v>
      </c>
      <c r="J11" s="14">
        <v>61677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5.1826137974868569E-3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1457774</v>
      </c>
      <c r="J15" s="30">
        <v>1295218</v>
      </c>
      <c r="K15" s="31">
        <f>J15/I15-1</f>
        <v>-0.11150974019292426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348139</v>
      </c>
      <c r="J16" s="34">
        <v>285607</v>
      </c>
      <c r="K16" s="31">
        <f>J16/I16-1</f>
        <v>-0.17961791123660376</v>
      </c>
    </row>
    <row r="17" spans="2:11" ht="18.600000000000001" x14ac:dyDescent="0.3">
      <c r="B17" s="13" t="s">
        <v>5</v>
      </c>
      <c r="C17" s="16">
        <f>F8*C$5</f>
        <v>2129032.2580645159</v>
      </c>
      <c r="D17" s="35">
        <v>1773239</v>
      </c>
      <c r="E17" s="16">
        <f t="shared" ref="E17:E23" si="0">D17-C17</f>
        <v>-355793.25806451589</v>
      </c>
      <c r="F17" s="21">
        <f>E17/C17</f>
        <v>-0.16711501515151506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362037</v>
      </c>
      <c r="J18" s="34">
        <v>192500</v>
      </c>
      <c r="K18" s="31">
        <f>J18/I18-1</f>
        <v>-0.46828639061753352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6.0299999999999999E-2</v>
      </c>
      <c r="E19" s="21">
        <f t="shared" si="0"/>
        <v>-9.7000000000000072E-3</v>
      </c>
      <c r="F19" s="21">
        <f>(D19-C19)/C19</f>
        <v>-0.13857142857142865</v>
      </c>
      <c r="H19" s="29" t="s">
        <v>27</v>
      </c>
      <c r="I19" s="41">
        <f>SUM(I15:I18)</f>
        <v>2167950</v>
      </c>
      <c r="J19" s="41">
        <f>SUM(J15:J18)</f>
        <v>1773325</v>
      </c>
      <c r="K19" s="31">
        <f>J19/I19-1</f>
        <v>-0.18202679951105882</v>
      </c>
    </row>
    <row r="20" spans="2:11" ht="18.600000000000001" x14ac:dyDescent="0.3">
      <c r="B20" s="36" t="s">
        <v>13</v>
      </c>
      <c r="C20" s="42">
        <f>F11</f>
        <v>2565</v>
      </c>
      <c r="D20" s="43">
        <v>4076</v>
      </c>
      <c r="E20" s="42">
        <f t="shared" si="0"/>
        <v>1511</v>
      </c>
      <c r="F20" s="39">
        <f>(D20-C20)/C20</f>
        <v>0.58908382066276799</v>
      </c>
      <c r="K20" s="44"/>
    </row>
    <row r="21" spans="2:11" ht="20.399999999999999" x14ac:dyDescent="0.3">
      <c r="B21" s="13" t="s">
        <v>14</v>
      </c>
      <c r="C21" s="25">
        <f>F12*C$5</f>
        <v>415.16129032258067</v>
      </c>
      <c r="D21" s="45">
        <v>266</v>
      </c>
      <c r="E21" s="25">
        <f t="shared" si="0"/>
        <v>-149.16129032258067</v>
      </c>
      <c r="F21" s="21">
        <f>E21/C21</f>
        <v>-0.35928515928515931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830.32258064516134</v>
      </c>
      <c r="D22" s="47">
        <v>435</v>
      </c>
      <c r="E22" s="46">
        <f t="shared" si="0"/>
        <v>-395.32258064516134</v>
      </c>
      <c r="F22" s="39">
        <f>E22/C22</f>
        <v>-0.47610722610722611</v>
      </c>
    </row>
    <row r="23" spans="2:11" ht="18.600000000000001" x14ac:dyDescent="0.3">
      <c r="B23" s="13" t="s">
        <v>16</v>
      </c>
      <c r="C23" s="25">
        <f>F14*C$5</f>
        <v>6079.0967741935483</v>
      </c>
      <c r="D23" s="45">
        <v>4414</v>
      </c>
      <c r="E23" s="25">
        <f t="shared" si="0"/>
        <v>-1665.0967741935483</v>
      </c>
      <c r="F23" s="21">
        <f>E23/C23</f>
        <v>-0.27390529153312249</v>
      </c>
      <c r="H23" s="48">
        <f ca="1">TODAY()</f>
        <v>46318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1631</v>
      </c>
      <c r="J24" s="49">
        <v>1460</v>
      </c>
    </row>
    <row r="25" spans="2:11" ht="18.600000000000001" x14ac:dyDescent="0.3">
      <c r="B25" s="50" t="s">
        <v>30</v>
      </c>
      <c r="C25" s="51">
        <f>(D17/C$5)*C$4</f>
        <v>2498654.9545454541</v>
      </c>
      <c r="D25" s="7"/>
      <c r="E25" s="50" t="s">
        <v>31</v>
      </c>
      <c r="F25" s="31">
        <f>C25/C8</f>
        <v>0.83288498484848472</v>
      </c>
      <c r="H25" s="11" t="s">
        <v>32</v>
      </c>
      <c r="I25" s="12">
        <v>2555</v>
      </c>
      <c r="J25" s="52">
        <v>3240</v>
      </c>
    </row>
    <row r="26" spans="2:11" ht="18.600000000000001" x14ac:dyDescent="0.3">
      <c r="H26" s="29" t="s">
        <v>33</v>
      </c>
      <c r="I26" s="49">
        <v>294</v>
      </c>
      <c r="J26" s="49">
        <v>412</v>
      </c>
    </row>
    <row r="27" spans="2:11" ht="18.600000000000001" x14ac:dyDescent="0.3">
      <c r="H27" s="11" t="s">
        <v>27</v>
      </c>
      <c r="I27" s="11">
        <f>SUM(I24:I26)</f>
        <v>4480</v>
      </c>
      <c r="J27" s="11">
        <f>SUM(J24:J26)</f>
        <v>5112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2026-10-23T07:14:54Z</dcterms:modified>
</cp:coreProperties>
</file>