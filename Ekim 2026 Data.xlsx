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01C155FC-FCB7-4098-BB18-4E9C54296A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J19" i="1"/>
  <c r="I19" i="1"/>
  <c r="C19" i="1"/>
  <c r="K18" i="1"/>
  <c r="K17" i="1"/>
  <c r="C17" i="1"/>
  <c r="E17" i="1" s="1"/>
  <c r="F17" i="1" s="1"/>
  <c r="K16" i="1"/>
  <c r="K15" i="1"/>
  <c r="F14" i="1"/>
  <c r="C23" i="1" s="1"/>
  <c r="E23" i="1" s="1"/>
  <c r="F23" i="1" s="1"/>
  <c r="F13" i="1"/>
  <c r="C22" i="1" s="1"/>
  <c r="E22" i="1" s="1"/>
  <c r="F22" i="1" s="1"/>
  <c r="I12" i="1"/>
  <c r="F12" i="1"/>
  <c r="C21" i="1" s="1"/>
  <c r="E21" i="1" s="1"/>
  <c r="F11" i="1"/>
  <c r="C20" i="1" s="1"/>
  <c r="F10" i="1"/>
  <c r="I9" i="1"/>
  <c r="F9" i="1"/>
  <c r="C18" i="1" s="1"/>
  <c r="F8" i="1"/>
  <c r="I6" i="1"/>
  <c r="F19" i="1" l="1"/>
  <c r="E19" i="1"/>
  <c r="F21" i="1"/>
  <c r="K19" i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<sst xmlns="http://schemas.openxmlformats.org/spreadsheetml/2006/main" count="55" uniqueCount="34">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</sst>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3"/>
  <sheetViews>
    <sheetView tabSelected="1" topLeftCell="A3" zoomScale="50" zoomScaleNormal="50" workbookViewId="0">
      <selection activeCell="L26" sqref="L26"/>
    </sheetView>
  </sheetViews>
  <sheetFormatPr defaultRowHeight="15" x14ac:dyDescent="0.3"/>
  <cols>
    <col min="1" max="1" width="3" style="4" customWidth="1"/>
    <col min="2" max="2" width="31.6640625" style="4" customWidth="1"/>
    <col min="3" max="3" width="33.44140625" style="4" customWidth="1"/>
    <col min="4" max="4" width="25.33203125" style="4" customWidth="1"/>
    <col min="5" max="5" width="23.5546875" style="4" customWidth="1"/>
    <col min="6" max="6" width="20.554687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30</v>
      </c>
      <c r="D5" s="7"/>
      <c r="E5" s="7"/>
      <c r="F5" s="7"/>
      <c r="H5" s="13" t="s">
        <v>5</v>
      </c>
      <c r="I5" s="14">
        <v>1150175</v>
      </c>
      <c r="J5" s="14">
        <v>916648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-0.20303605973004113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1504861.01</v>
      </c>
      <c r="J8" s="14">
        <v>1512846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5.3061312286906137E-3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80840.179999999993</v>
      </c>
      <c r="J11" s="14">
        <v>85207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5.4017940088703531E-2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1811145.39</v>
      </c>
      <c r="J15" s="30">
        <v>1830825.18</v>
      </c>
      <c r="K15" s="31">
        <f>J15/I15-1</f>
        <v>1.0865936058286341E-2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471174.78</v>
      </c>
      <c r="J16" s="34">
        <v>422361.02</v>
      </c>
      <c r="K16" s="31">
        <f>J16/I16-1</f>
        <v>-0.10360011204334829</v>
      </c>
    </row>
    <row r="17" spans="2:11" ht="18.600000000000001" x14ac:dyDescent="0.3">
      <c r="B17" s="13" t="s">
        <v>5</v>
      </c>
      <c r="C17" s="16">
        <f>F8*C$5</f>
        <v>2903225.8064516126</v>
      </c>
      <c r="D17" s="35">
        <v>2514701</v>
      </c>
      <c r="E17" s="16">
        <f t="shared" ref="E17:E23" si="0">D17-C17</f>
        <v>-388524.80645161262</v>
      </c>
      <c r="F17" s="21">
        <f>E17/C17</f>
        <v>-0.13382521111111104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1.68</v>
      </c>
      <c r="E18" s="37">
        <f t="shared" si="0"/>
        <v>-0.12000000000000011</v>
      </c>
      <c r="F18" s="39">
        <f>(D18-C18)/C18</f>
        <v>-6.6666666666666721E-2</v>
      </c>
      <c r="H18" s="11" t="s">
        <v>26</v>
      </c>
      <c r="I18" s="34">
        <v>453556.02</v>
      </c>
      <c r="J18" s="34">
        <v>260713.77</v>
      </c>
      <c r="K18" s="31">
        <f>J18/I18-1</f>
        <v>-0.42517845976336066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6.2E-2</v>
      </c>
      <c r="E19" s="21">
        <f t="shared" si="0"/>
        <v>-8.0000000000000071E-3</v>
      </c>
      <c r="F19" s="21">
        <f>(D19-C19)/C19</f>
        <v>-0.11428571428571438</v>
      </c>
      <c r="H19" s="29" t="s">
        <v>27</v>
      </c>
      <c r="I19" s="41">
        <f>SUM(I15:I18)</f>
        <v>2735876.19</v>
      </c>
      <c r="J19" s="41">
        <f>SUM(J15:J18)</f>
        <v>2513899.9700000002</v>
      </c>
      <c r="K19" s="31">
        <f>J19/I19-1</f>
        <v>-8.113533090837699E-2</v>
      </c>
    </row>
    <row r="20" spans="2:11" ht="18.600000000000001" x14ac:dyDescent="0.3">
      <c r="B20" s="36" t="s">
        <v>13</v>
      </c>
      <c r="C20" s="42">
        <f>F11</f>
        <v>2565</v>
      </c>
      <c r="D20" s="43">
        <v>6670</v>
      </c>
      <c r="E20" s="42">
        <f t="shared" si="0"/>
        <v>4105</v>
      </c>
      <c r="F20" s="39">
        <f>(D20-C20)/C20</f>
        <v>1.6003898635477583</v>
      </c>
      <c r="K20" s="44"/>
    </row>
    <row r="21" spans="2:11" ht="20.399999999999999" x14ac:dyDescent="0.3">
      <c r="B21" s="13" t="s">
        <v>14</v>
      </c>
      <c r="C21" s="25">
        <f>F12*C$5</f>
        <v>566.12903225806451</v>
      </c>
      <c r="D21" s="45">
        <v>377</v>
      </c>
      <c r="E21" s="25">
        <f t="shared" si="0"/>
        <v>-189.12903225806451</v>
      </c>
      <c r="F21" s="21">
        <f>E21/C21</f>
        <v>-0.33407407407407408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1132.258064516129</v>
      </c>
      <c r="D22" s="47">
        <v>632</v>
      </c>
      <c r="E22" s="46">
        <f t="shared" si="0"/>
        <v>-500.25806451612902</v>
      </c>
      <c r="F22" s="39">
        <f>E22/C22</f>
        <v>-0.44182336182336179</v>
      </c>
    </row>
    <row r="23" spans="2:11" ht="18.600000000000001" x14ac:dyDescent="0.3">
      <c r="B23" s="13" t="s">
        <v>16</v>
      </c>
      <c r="C23" s="25">
        <f>F14*C$5</f>
        <v>8289.677419354839</v>
      </c>
      <c r="D23" s="45">
        <v>6077</v>
      </c>
      <c r="E23" s="25">
        <f t="shared" si="0"/>
        <v>-2212.677419354839</v>
      </c>
      <c r="F23" s="21">
        <f>E23/C23</f>
        <v>-0.26691960463849329</v>
      </c>
      <c r="H23" s="48">
        <f ca="1">TODAY()</f>
        <v>46326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1586</v>
      </c>
      <c r="J24" s="49">
        <v>1411</v>
      </c>
    </row>
    <row r="25" spans="2:11" ht="18.600000000000001" x14ac:dyDescent="0.3">
      <c r="B25" s="50" t="s">
        <v>30</v>
      </c>
      <c r="C25" s="51">
        <f>(D17/C$5)*C$4</f>
        <v>2598524.3666666667</v>
      </c>
      <c r="D25" s="7"/>
      <c r="E25" s="50" t="s">
        <v>31</v>
      </c>
      <c r="F25" s="31">
        <f>C25/C8</f>
        <v>0.86617478888888888</v>
      </c>
      <c r="H25" s="11" t="s">
        <v>32</v>
      </c>
      <c r="I25" s="12">
        <v>2427</v>
      </c>
      <c r="J25" s="52">
        <v>3073</v>
      </c>
    </row>
    <row r="26" spans="2:11" ht="18.600000000000001" x14ac:dyDescent="0.3">
      <c r="H26" s="29" t="s">
        <v>33</v>
      </c>
      <c r="I26" s="49">
        <v>276</v>
      </c>
      <c r="J26" s="49">
        <v>396</v>
      </c>
    </row>
    <row r="27" spans="2:11" ht="18.600000000000001" x14ac:dyDescent="0.3">
      <c r="H27" s="11" t="s">
        <v>27</v>
      </c>
      <c r="I27" s="11">
        <f>SUM(I24:I26)</f>
        <v>4289</v>
      </c>
      <c r="J27" s="11">
        <f>SUM(J24:J26)</f>
        <v>4880</v>
      </c>
    </row>
    <row r="33" spans="2:6" x14ac:dyDescent="0.3">
      <c r="B33" s="53"/>
      <c r="C33" s="54"/>
      <c r="E33" s="53"/>
      <c r="F33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2026-10-31T07:01:52Z</dcterms:modified>
</cp:coreProperties>
</file>