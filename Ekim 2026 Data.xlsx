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C7773373-CF22-480D-B2F6-116B40F62C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C23" i="1"/>
  <c r="E23" i="1" s="1"/>
  <c r="F23" i="1" s="1"/>
  <c r="C22" i="1"/>
  <c r="E22" i="1" s="1"/>
  <c r="F22" i="1" s="1"/>
  <c r="J19" i="1"/>
  <c r="K19" i="1" s="1"/>
  <c r="I19" i="1"/>
  <c r="F19" i="1"/>
  <c r="E19" i="1"/>
  <c r="C19" i="1"/>
  <c r="K18" i="1"/>
  <c r="C18" i="1"/>
  <c r="K17" i="1"/>
  <c r="C17" i="1"/>
  <c r="E17" i="1" s="1"/>
  <c r="F17" i="1" s="1"/>
  <c r="K16" i="1"/>
  <c r="K15" i="1"/>
  <c r="F14" i="1"/>
  <c r="F13" i="1"/>
  <c r="I12" i="1"/>
  <c r="F12" i="1"/>
  <c r="C21" i="1" s="1"/>
  <c r="E21" i="1" s="1"/>
  <c r="F21" i="1" s="1"/>
  <c r="F11" i="1"/>
  <c r="C20" i="1" s="1"/>
  <c r="F10" i="1"/>
  <c r="I9" i="1"/>
  <c r="F9" i="1"/>
  <c r="F8" i="1"/>
  <c r="I6" i="1"/>
  <c r="F18" i="1" l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<sst xmlns="http://schemas.openxmlformats.org/spreadsheetml/2006/main" count="55" uniqueCount="34">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</sst>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5"/>
  <sheetViews>
    <sheetView tabSelected="1" zoomScale="60" zoomScaleNormal="60" workbookViewId="0">
      <selection activeCell="H20" sqref="H20"/>
    </sheetView>
  </sheetViews>
  <sheetFormatPr defaultRowHeight="15" x14ac:dyDescent="0.3"/>
  <cols>
    <col min="1" max="1" width="3" style="4" customWidth="1"/>
    <col min="2" max="2" width="31.6640625" style="4" customWidth="1"/>
    <col min="3" max="3" width="36.5546875" style="4" customWidth="1"/>
    <col min="4" max="6" width="31.664062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2" t="s">
        <v>0</v>
      </c>
      <c r="C2" s="2"/>
      <c r="D2" s="2"/>
      <c r="E2" s="2"/>
      <c r="F2" s="1"/>
      <c r="H2" s="2" t="s">
        <v>1</v>
      </c>
      <c r="I2" s="2"/>
      <c r="J2" s="2"/>
      <c r="K2" s="2"/>
    </row>
    <row r="3" spans="1:11" ht="20.399999999999999" x14ac:dyDescent="0.3">
      <c r="B3" s="5"/>
      <c r="C3" s="5"/>
      <c r="D3" s="5"/>
      <c r="E3" s="5"/>
    </row>
    <row r="4" spans="1:11" ht="19.8" x14ac:dyDescent="0.4">
      <c r="B4" s="6" t="s">
        <v>2</v>
      </c>
      <c r="C4" s="7">
        <v>31</v>
      </c>
      <c r="D4" s="8"/>
      <c r="E4" s="8"/>
      <c r="F4" s="8"/>
      <c r="H4" s="9" t="s">
        <v>3</v>
      </c>
      <c r="I4" s="10">
        <v>2025</v>
      </c>
      <c r="J4" s="10">
        <v>2026</v>
      </c>
      <c r="K4" s="11"/>
    </row>
    <row r="5" spans="1:11" ht="19.8" x14ac:dyDescent="0.4">
      <c r="B5" s="12" t="s">
        <v>4</v>
      </c>
      <c r="C5" s="13">
        <v>15</v>
      </c>
      <c r="D5" s="8"/>
      <c r="E5" s="8"/>
      <c r="F5" s="8"/>
      <c r="H5" s="14" t="s">
        <v>5</v>
      </c>
      <c r="I5" s="15">
        <v>664887</v>
      </c>
      <c r="J5" s="15">
        <v>496587</v>
      </c>
      <c r="K5" s="11"/>
    </row>
    <row r="6" spans="1:11" ht="28.8" x14ac:dyDescent="0.55000000000000004">
      <c r="B6" s="8"/>
      <c r="C6" s="8"/>
      <c r="D6" s="8"/>
      <c r="E6" s="8"/>
      <c r="F6" s="8"/>
      <c r="H6" s="16" t="s">
        <v>6</v>
      </c>
      <c r="I6" s="17">
        <f>J5/I5-1</f>
        <v>-0.25312571910715653</v>
      </c>
      <c r="J6" s="18"/>
      <c r="K6" s="11"/>
    </row>
    <row r="7" spans="1:11" ht="19.8" x14ac:dyDescent="0.4">
      <c r="B7" s="19" t="s">
        <v>7</v>
      </c>
      <c r="C7" s="20"/>
      <c r="D7" s="8"/>
      <c r="E7" s="19" t="s">
        <v>8</v>
      </c>
      <c r="F7" s="20"/>
      <c r="H7" s="9" t="s">
        <v>9</v>
      </c>
      <c r="I7" s="10">
        <v>2025</v>
      </c>
      <c r="J7" s="10">
        <v>2026</v>
      </c>
      <c r="K7" s="11"/>
    </row>
    <row r="8" spans="1:11" ht="19.8" x14ac:dyDescent="0.4">
      <c r="B8" s="14" t="s">
        <v>5</v>
      </c>
      <c r="C8" s="15">
        <v>3000000</v>
      </c>
      <c r="D8" s="8"/>
      <c r="E8" s="14" t="s">
        <v>5</v>
      </c>
      <c r="F8" s="21">
        <f>C8/C$4</f>
        <v>96774.193548387091</v>
      </c>
      <c r="H8" s="14" t="s">
        <v>5</v>
      </c>
      <c r="I8" s="15">
        <v>758392</v>
      </c>
      <c r="J8" s="15">
        <v>777363</v>
      </c>
      <c r="K8" s="11"/>
    </row>
    <row r="9" spans="1:11" ht="28.8" x14ac:dyDescent="0.55000000000000004">
      <c r="B9" s="22" t="s">
        <v>10</v>
      </c>
      <c r="C9" s="23">
        <v>1.8</v>
      </c>
      <c r="D9" s="8"/>
      <c r="E9" s="22" t="s">
        <v>10</v>
      </c>
      <c r="F9" s="24">
        <f>C9</f>
        <v>1.8</v>
      </c>
      <c r="H9" s="16" t="s">
        <v>6</v>
      </c>
      <c r="I9" s="17">
        <f>J8/I8-1</f>
        <v>2.5014768088271078E-2</v>
      </c>
      <c r="J9" s="18"/>
      <c r="K9" s="11"/>
    </row>
    <row r="10" spans="1:11" ht="19.8" x14ac:dyDescent="0.4">
      <c r="B10" s="14" t="s">
        <v>11</v>
      </c>
      <c r="C10" s="25">
        <v>7.0000000000000007E-2</v>
      </c>
      <c r="D10" s="8"/>
      <c r="E10" s="14" t="s">
        <v>11</v>
      </c>
      <c r="F10" s="26">
        <f>C10</f>
        <v>7.0000000000000007E-2</v>
      </c>
      <c r="H10" s="9" t="s">
        <v>12</v>
      </c>
      <c r="I10" s="10">
        <v>2025</v>
      </c>
      <c r="J10" s="10">
        <v>2026</v>
      </c>
      <c r="K10" s="11"/>
    </row>
    <row r="11" spans="1:11" ht="19.8" x14ac:dyDescent="0.4">
      <c r="B11" s="22" t="s">
        <v>13</v>
      </c>
      <c r="C11" s="27">
        <v>2565</v>
      </c>
      <c r="D11" s="8"/>
      <c r="E11" s="22" t="s">
        <v>13</v>
      </c>
      <c r="F11" s="28">
        <f>C11</f>
        <v>2565</v>
      </c>
      <c r="H11" s="14" t="s">
        <v>5</v>
      </c>
      <c r="I11" s="15">
        <v>44446</v>
      </c>
      <c r="J11" s="15">
        <v>54571</v>
      </c>
      <c r="K11" s="11"/>
    </row>
    <row r="12" spans="1:11" ht="28.8" x14ac:dyDescent="0.55000000000000004">
      <c r="B12" s="14" t="s">
        <v>14</v>
      </c>
      <c r="C12" s="29">
        <v>585</v>
      </c>
      <c r="D12" s="8"/>
      <c r="E12" s="14" t="s">
        <v>14</v>
      </c>
      <c r="F12" s="30">
        <f>C12/C$4</f>
        <v>18.870967741935484</v>
      </c>
      <c r="H12" s="16" t="s">
        <v>6</v>
      </c>
      <c r="I12" s="17">
        <f>J11/I11-1</f>
        <v>0.2278045268415605</v>
      </c>
      <c r="J12" s="18"/>
      <c r="K12" s="11"/>
    </row>
    <row r="13" spans="1:11" ht="19.8" x14ac:dyDescent="0.4">
      <c r="B13" s="22" t="s">
        <v>15</v>
      </c>
      <c r="C13" s="31">
        <v>1170</v>
      </c>
      <c r="D13" s="8"/>
      <c r="E13" s="22" t="s">
        <v>15</v>
      </c>
      <c r="F13" s="32">
        <f>C13/C$4</f>
        <v>37.741935483870968</v>
      </c>
      <c r="H13" s="11"/>
      <c r="I13" s="11"/>
      <c r="J13" s="11"/>
      <c r="K13" s="11"/>
    </row>
    <row r="14" spans="1:11" ht="18.600000000000001" x14ac:dyDescent="0.3">
      <c r="B14" s="14" t="s">
        <v>16</v>
      </c>
      <c r="C14" s="29">
        <v>8566</v>
      </c>
      <c r="D14" s="8"/>
      <c r="E14" s="14" t="s">
        <v>16</v>
      </c>
      <c r="F14" s="30">
        <f>C14/C$4</f>
        <v>276.32258064516128</v>
      </c>
      <c r="H14" s="9" t="s">
        <v>17</v>
      </c>
      <c r="I14" s="10">
        <v>2025</v>
      </c>
      <c r="J14" s="10">
        <v>2026</v>
      </c>
      <c r="K14" s="33" t="s">
        <v>6</v>
      </c>
    </row>
    <row r="15" spans="1:11" ht="18.600000000000001" x14ac:dyDescent="0.3">
      <c r="B15" s="8"/>
      <c r="C15" s="8"/>
      <c r="D15" s="8"/>
      <c r="E15" s="8"/>
      <c r="F15" s="8"/>
      <c r="H15" s="34" t="s">
        <v>18</v>
      </c>
      <c r="I15" s="35">
        <v>960406</v>
      </c>
      <c r="J15" s="35">
        <v>941690</v>
      </c>
      <c r="K15" s="36">
        <f>J15/I15-1</f>
        <v>-1.9487591706007668E-2</v>
      </c>
    </row>
    <row r="16" spans="1:11" ht="19.2" thickBot="1" x14ac:dyDescent="0.35">
      <c r="B16" s="37" t="s">
        <v>19</v>
      </c>
      <c r="C16" s="37" t="s">
        <v>20</v>
      </c>
      <c r="D16" s="38" t="s">
        <v>21</v>
      </c>
      <c r="E16" s="37" t="s">
        <v>22</v>
      </c>
      <c r="F16" s="37" t="s">
        <v>23</v>
      </c>
      <c r="H16" s="12" t="s">
        <v>24</v>
      </c>
      <c r="I16" s="39">
        <v>249962</v>
      </c>
      <c r="J16" s="39">
        <v>241545</v>
      </c>
      <c r="K16" s="36">
        <f>J16/I16-1</f>
        <v>-3.3673118313983674E-2</v>
      </c>
    </row>
    <row r="17" spans="2:11" ht="18.600000000000001" x14ac:dyDescent="0.3">
      <c r="B17" s="14" t="s">
        <v>5</v>
      </c>
      <c r="C17" s="21">
        <f>F8*C$5</f>
        <v>1451612.9032258063</v>
      </c>
      <c r="D17" s="40">
        <v>1328521</v>
      </c>
      <c r="E17" s="21">
        <f t="shared" ref="E17:E23" si="0">D17-C17</f>
        <v>-123091.90322580631</v>
      </c>
      <c r="F17" s="26">
        <f>E17/C17</f>
        <v>-8.4796644444444361E-2</v>
      </c>
      <c r="H17" s="34" t="s">
        <v>25</v>
      </c>
      <c r="I17" s="35">
        <v>0</v>
      </c>
      <c r="J17" s="35">
        <v>0</v>
      </c>
      <c r="K17" s="36" t="e">
        <f>J17/I17-1</f>
        <v>#DIV/0!</v>
      </c>
    </row>
    <row r="18" spans="2:11" ht="18.600000000000001" x14ac:dyDescent="0.3">
      <c r="B18" s="41" t="s">
        <v>10</v>
      </c>
      <c r="C18" s="42">
        <f>F9</f>
        <v>1.8</v>
      </c>
      <c r="D18" s="43">
        <v>1.65</v>
      </c>
      <c r="E18" s="42">
        <f t="shared" si="0"/>
        <v>-0.15000000000000013</v>
      </c>
      <c r="F18" s="44">
        <f>(D18-C18)/C18</f>
        <v>-8.3333333333333412E-2</v>
      </c>
      <c r="H18" s="12" t="s">
        <v>26</v>
      </c>
      <c r="I18" s="39">
        <v>257743</v>
      </c>
      <c r="J18" s="39">
        <v>135670</v>
      </c>
      <c r="K18" s="36">
        <f>J18/I18-1</f>
        <v>-0.47362294999282228</v>
      </c>
    </row>
    <row r="19" spans="2:11" ht="18.600000000000001" x14ac:dyDescent="0.3">
      <c r="B19" s="14" t="s">
        <v>11</v>
      </c>
      <c r="C19" s="26">
        <f>F10</f>
        <v>7.0000000000000007E-2</v>
      </c>
      <c r="D19" s="45">
        <v>6.6799999999999998E-2</v>
      </c>
      <c r="E19" s="26">
        <f t="shared" si="0"/>
        <v>-3.2000000000000084E-3</v>
      </c>
      <c r="F19" s="26">
        <f>(D19-C19)/C19</f>
        <v>-4.5714285714285832E-2</v>
      </c>
      <c r="H19" s="34" t="s">
        <v>27</v>
      </c>
      <c r="I19" s="46">
        <f>SUM(I15:I18)</f>
        <v>1468111</v>
      </c>
      <c r="J19" s="46">
        <f>SUM(J15:J18)</f>
        <v>1318905</v>
      </c>
      <c r="K19" s="36">
        <f>J19/I19-1</f>
        <v>-0.10163127992365695</v>
      </c>
    </row>
    <row r="20" spans="2:11" ht="18.600000000000001" x14ac:dyDescent="0.3">
      <c r="B20" s="41" t="s">
        <v>13</v>
      </c>
      <c r="C20" s="47">
        <f>F11</f>
        <v>2565</v>
      </c>
      <c r="D20" s="48">
        <v>3942</v>
      </c>
      <c r="E20" s="47">
        <f t="shared" si="0"/>
        <v>1377</v>
      </c>
      <c r="F20" s="44">
        <f>(D20-C20)/C20</f>
        <v>0.5368421052631579</v>
      </c>
      <c r="K20" s="49"/>
    </row>
    <row r="21" spans="2:11" ht="20.399999999999999" x14ac:dyDescent="0.3">
      <c r="B21" s="14" t="s">
        <v>14</v>
      </c>
      <c r="C21" s="30">
        <f>F12*C$5</f>
        <v>283.06451612903226</v>
      </c>
      <c r="D21" s="50">
        <v>204</v>
      </c>
      <c r="E21" s="30">
        <f t="shared" si="0"/>
        <v>-79.064516129032256</v>
      </c>
      <c r="F21" s="26">
        <f>E21/C21</f>
        <v>-0.27931623931623933</v>
      </c>
      <c r="H21" s="2" t="s">
        <v>28</v>
      </c>
      <c r="I21" s="2"/>
      <c r="J21" s="2"/>
      <c r="K21" s="2"/>
    </row>
    <row r="22" spans="2:11" ht="18.600000000000001" x14ac:dyDescent="0.3">
      <c r="B22" s="41" t="s">
        <v>15</v>
      </c>
      <c r="C22" s="51">
        <f>F13*C$5</f>
        <v>566.12903225806451</v>
      </c>
      <c r="D22" s="52">
        <v>355</v>
      </c>
      <c r="E22" s="51">
        <f t="shared" si="0"/>
        <v>-211.12903225806451</v>
      </c>
      <c r="F22" s="44">
        <f>E22/C22</f>
        <v>-0.3729344729344729</v>
      </c>
    </row>
    <row r="23" spans="2:11" ht="18.600000000000001" x14ac:dyDescent="0.3">
      <c r="B23" s="14" t="s">
        <v>16</v>
      </c>
      <c r="C23" s="30">
        <f>F14*C$5</f>
        <v>4144.8387096774195</v>
      </c>
      <c r="D23" s="50">
        <v>3052</v>
      </c>
      <c r="E23" s="30">
        <f t="shared" si="0"/>
        <v>-1092.8387096774195</v>
      </c>
      <c r="F23" s="26">
        <f>E23/C23</f>
        <v>-0.26366254183204924</v>
      </c>
      <c r="H23" s="53">
        <f ca="1">TODAY()</f>
        <v>46311</v>
      </c>
      <c r="I23" s="10">
        <v>2025</v>
      </c>
      <c r="J23" s="10">
        <v>2026</v>
      </c>
    </row>
    <row r="24" spans="2:11" ht="18.600000000000001" x14ac:dyDescent="0.3">
      <c r="B24" s="8"/>
      <c r="C24" s="8"/>
      <c r="D24" s="8"/>
      <c r="E24" s="8"/>
      <c r="F24" s="8"/>
      <c r="H24" s="34" t="s">
        <v>29</v>
      </c>
      <c r="I24" s="54">
        <v>1559</v>
      </c>
      <c r="J24" s="54">
        <v>1484</v>
      </c>
    </row>
    <row r="25" spans="2:11" ht="18.600000000000001" x14ac:dyDescent="0.3">
      <c r="B25" s="55" t="s">
        <v>30</v>
      </c>
      <c r="C25" s="56">
        <f>(D17/C$5)*C$4</f>
        <v>2745610.0666666664</v>
      </c>
      <c r="D25" s="8"/>
      <c r="E25" s="55" t="s">
        <v>31</v>
      </c>
      <c r="F25" s="36">
        <f>C25/C8</f>
        <v>0.91520335555555543</v>
      </c>
      <c r="H25" s="12" t="s">
        <v>32</v>
      </c>
      <c r="I25" s="13">
        <v>2498</v>
      </c>
      <c r="J25" s="57">
        <v>3337</v>
      </c>
    </row>
    <row r="26" spans="2:11" ht="18.600000000000001" x14ac:dyDescent="0.3">
      <c r="H26" s="34" t="s">
        <v>33</v>
      </c>
      <c r="I26" s="54">
        <v>289</v>
      </c>
      <c r="J26" s="54">
        <v>418</v>
      </c>
    </row>
    <row r="27" spans="2:11" ht="18.600000000000001" x14ac:dyDescent="0.3">
      <c r="H27" s="12" t="s">
        <v>27</v>
      </c>
      <c r="I27" s="12">
        <f>SUM(I24:I26)</f>
        <v>4346</v>
      </c>
      <c r="J27" s="12">
        <f>SUM(J24:J26)</f>
        <v>5239</v>
      </c>
    </row>
    <row r="35" spans="2:6" x14ac:dyDescent="0.3">
      <c r="B35" s="58"/>
      <c r="C35" s="59"/>
      <c r="E35" s="58"/>
      <c r="F35" s="60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2026-10-16T10:23:29Z</dcterms:modified>
</cp:coreProperties>
</file>