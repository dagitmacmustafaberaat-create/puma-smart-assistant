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agaza.mudur\Desktop\"/>
    </mc:Choice>
  </mc:AlternateContent>
  <xr:revisionPtr revIDLastSave="0" documentId="13_ncr:1_{16316DDB-25F3-48A5-BE4E-897E51D6FB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J27" i="1"/>
  <c r="I27" i="1"/>
  <c r="C25" i="1"/>
  <c r="F25" i="1" s="1"/>
  <c r="H23" i="1"/>
  <c r="C23" i="1"/>
  <c r="E23" i="1" s="1"/>
  <c r="F23" i="1" s="1"/>
  <c r="C22" i="1"/>
  <c r="E22" i="1" s="1"/>
  <c r="F22" i="1" s="1"/>
  <c r="J19" i="1"/>
  <c r="I19" i="1"/>
  <c r="F19" i="1"/>
  <c r="E19" i="1"/>
  <c r="C19" i="1"/>
  <c r="K18" i="1"/>
  <c r="C18" i="1"/>
  <c r="K17" i="1"/>
  <c r="C17" i="1"/>
  <c r="E17" i="1" s="1"/>
  <c r="F17" i="1" s="1"/>
  <c r="K16" i="1"/>
  <c r="K15" i="1"/>
  <c r="F14" i="1"/>
  <c r="F13" i="1"/>
  <c r="I12" i="1"/>
  <c r="F12" i="1"/>
  <c r="C21" i="1" s="1"/>
  <c r="F11" i="1"/>
  <c r="C20" i="1" s="1"/>
  <c r="F10" i="1"/>
  <c r="I9" i="1"/>
  <c r="F9" i="1"/>
  <c r="F8" i="1"/>
  <c r="I6" i="1"/>
  <c r="F21" i="1" l="1"/>
  <c r="K19" i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<sst xmlns="http://schemas.openxmlformats.org/spreadsheetml/2006/main" count="55" uniqueCount="34">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</sst>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5"/>
  <sheetViews>
    <sheetView tabSelected="1" zoomScale="60" zoomScaleNormal="60" workbookViewId="0">
      <selection activeCell="E28" sqref="E28"/>
    </sheetView>
  </sheetViews>
  <sheetFormatPr defaultRowHeight="15" x14ac:dyDescent="0.3"/>
  <cols>
    <col min="1" max="1" width="3" style="4" customWidth="1"/>
    <col min="2" max="2" width="31.6640625" style="4" customWidth="1"/>
    <col min="3" max="3" width="36.5546875" style="4" customWidth="1"/>
    <col min="4" max="6" width="31.664062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58" t="s">
        <v>0</v>
      </c>
      <c r="C2" s="58"/>
      <c r="D2" s="58"/>
      <c r="E2" s="58"/>
      <c r="F2" s="1"/>
      <c r="H2" s="58" t="s">
        <v>1</v>
      </c>
      <c r="I2" s="58"/>
      <c r="J2" s="58"/>
      <c r="K2" s="58"/>
    </row>
    <row r="3" spans="1:11" ht="20.399999999999999" x14ac:dyDescent="0.3">
      <c r="B3" s="2"/>
      <c r="C3" s="2"/>
      <c r="D3" s="2"/>
      <c r="E3" s="2"/>
    </row>
    <row r="4" spans="1:11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</row>
    <row r="5" spans="1:11" ht="19.8" x14ac:dyDescent="0.4">
      <c r="B5" s="11" t="s">
        <v>4</v>
      </c>
      <c r="C5" s="12">
        <v>18</v>
      </c>
      <c r="D5" s="7"/>
      <c r="E5" s="7"/>
      <c r="F5" s="7"/>
      <c r="H5" s="13" t="s">
        <v>5</v>
      </c>
      <c r="I5" s="14">
        <v>765071</v>
      </c>
      <c r="J5" s="14">
        <v>654992</v>
      </c>
      <c r="K5" s="10"/>
    </row>
    <row r="6" spans="1:11" ht="28.8" x14ac:dyDescent="0.55000000000000004">
      <c r="B6" s="7"/>
      <c r="C6" s="7"/>
      <c r="D6" s="7"/>
      <c r="E6" s="7"/>
      <c r="F6" s="7"/>
      <c r="H6" s="15" t="s">
        <v>6</v>
      </c>
      <c r="I6" s="56">
        <f>J5/I5-1</f>
        <v>-0.14388076400752348</v>
      </c>
      <c r="J6" s="57"/>
      <c r="K6" s="10"/>
    </row>
    <row r="7" spans="1:11" ht="19.8" x14ac:dyDescent="0.4">
      <c r="B7" s="59" t="s">
        <v>7</v>
      </c>
      <c r="C7" s="60"/>
      <c r="D7" s="7"/>
      <c r="E7" s="59" t="s">
        <v>8</v>
      </c>
      <c r="F7" s="60"/>
      <c r="H7" s="8" t="s">
        <v>9</v>
      </c>
      <c r="I7" s="9">
        <v>2025</v>
      </c>
      <c r="J7" s="9">
        <v>2026</v>
      </c>
      <c r="K7" s="10"/>
    </row>
    <row r="8" spans="1:11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911784</v>
      </c>
      <c r="J8" s="14">
        <v>967652</v>
      </c>
      <c r="K8" s="10"/>
    </row>
    <row r="9" spans="1:11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6">
        <f>J8/I8-1</f>
        <v>6.1273284023409147E-2</v>
      </c>
      <c r="J9" s="57"/>
      <c r="K9" s="10"/>
    </row>
    <row r="10" spans="1:11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</row>
    <row r="11" spans="1:11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54264</v>
      </c>
      <c r="J11" s="14">
        <v>61178</v>
      </c>
      <c r="K11" s="10"/>
    </row>
    <row r="12" spans="1:11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6">
        <f>J11/I11-1</f>
        <v>0.1274141235441546</v>
      </c>
      <c r="J12" s="57"/>
      <c r="K12" s="10"/>
    </row>
    <row r="13" spans="1:11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</row>
    <row r="14" spans="1:11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</row>
    <row r="15" spans="1:11" ht="18.600000000000001" x14ac:dyDescent="0.3">
      <c r="B15" s="7"/>
      <c r="C15" s="7"/>
      <c r="D15" s="7"/>
      <c r="E15" s="7"/>
      <c r="F15" s="7"/>
      <c r="H15" s="29" t="s">
        <v>18</v>
      </c>
      <c r="I15" s="30">
        <v>1165723</v>
      </c>
      <c r="J15" s="30">
        <v>1230525</v>
      </c>
      <c r="K15" s="31">
        <f>J15/I15-1</f>
        <v>5.5589535421365133E-2</v>
      </c>
    </row>
    <row r="16" spans="1:11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286557</v>
      </c>
      <c r="J16" s="34">
        <v>265974</v>
      </c>
      <c r="K16" s="31">
        <f>J16/I16-1</f>
        <v>-7.1828641422125417E-2</v>
      </c>
    </row>
    <row r="17" spans="2:11" ht="18.600000000000001" x14ac:dyDescent="0.3">
      <c r="B17" s="13" t="s">
        <v>5</v>
      </c>
      <c r="C17" s="16">
        <f>F8*C$5</f>
        <v>1741935.4838709678</v>
      </c>
      <c r="D17" s="35">
        <v>1683822</v>
      </c>
      <c r="E17" s="16">
        <f t="shared" ref="E17:E23" si="0">D17-C17</f>
        <v>-58113.483870967757</v>
      </c>
      <c r="F17" s="21">
        <f>E17/C17</f>
        <v>-3.3361444444444451E-2</v>
      </c>
      <c r="H17" s="29" t="s">
        <v>25</v>
      </c>
      <c r="I17" s="30"/>
      <c r="J17" s="30"/>
      <c r="K17" s="31" t="e">
        <f>J17/I17-1</f>
        <v>#DIV/0!</v>
      </c>
    </row>
    <row r="18" spans="2:11" ht="18.600000000000001" x14ac:dyDescent="0.3">
      <c r="B18" s="36" t="s">
        <v>10</v>
      </c>
      <c r="C18" s="37">
        <f>F9</f>
        <v>1.8</v>
      </c>
      <c r="D18" s="38">
        <v>1.66</v>
      </c>
      <c r="E18" s="37">
        <f t="shared" si="0"/>
        <v>-0.14000000000000012</v>
      </c>
      <c r="F18" s="39">
        <f>(D18-C18)/C18</f>
        <v>-7.7777777777777848E-2</v>
      </c>
      <c r="H18" s="11" t="s">
        <v>26</v>
      </c>
      <c r="I18" s="34">
        <v>279221</v>
      </c>
      <c r="J18" s="34">
        <v>187409</v>
      </c>
      <c r="K18" s="31">
        <f>J18/I18-1</f>
        <v>-0.32881480977433641</v>
      </c>
    </row>
    <row r="19" spans="2:11" ht="18.600000000000001" x14ac:dyDescent="0.3">
      <c r="B19" s="13" t="s">
        <v>11</v>
      </c>
      <c r="C19" s="21">
        <f>F10</f>
        <v>7.0000000000000007E-2</v>
      </c>
      <c r="D19" s="40">
        <v>6.2199999999999998E-2</v>
      </c>
      <c r="E19" s="21">
        <f t="shared" si="0"/>
        <v>-7.8000000000000083E-3</v>
      </c>
      <c r="F19" s="21">
        <f>(D19-C19)/C19</f>
        <v>-0.11142857142857154</v>
      </c>
      <c r="H19" s="29" t="s">
        <v>27</v>
      </c>
      <c r="I19" s="41">
        <f>SUM(I15:I18)</f>
        <v>1731501</v>
      </c>
      <c r="J19" s="41">
        <f>SUM(J15:J18)</f>
        <v>1683908</v>
      </c>
      <c r="K19" s="31">
        <f>J19/I19-1</f>
        <v>-2.7486556461705725E-2</v>
      </c>
    </row>
    <row r="20" spans="2:11" ht="18.600000000000001" x14ac:dyDescent="0.3">
      <c r="B20" s="36" t="s">
        <v>13</v>
      </c>
      <c r="C20" s="42">
        <f>F11</f>
        <v>2565</v>
      </c>
      <c r="D20" s="43">
        <v>4028</v>
      </c>
      <c r="E20" s="42">
        <f t="shared" si="0"/>
        <v>1463</v>
      </c>
      <c r="F20" s="39">
        <f>(D20-C20)/C20</f>
        <v>0.57037037037037042</v>
      </c>
      <c r="K20" s="44"/>
    </row>
    <row r="21" spans="2:11" ht="20.399999999999999" x14ac:dyDescent="0.3">
      <c r="B21" s="13" t="s">
        <v>14</v>
      </c>
      <c r="C21" s="25">
        <f>F12*C$5</f>
        <v>339.67741935483872</v>
      </c>
      <c r="D21" s="45">
        <v>252</v>
      </c>
      <c r="E21" s="25">
        <f t="shared" si="0"/>
        <v>-87.677419354838719</v>
      </c>
      <c r="F21" s="21">
        <f>E21/C21</f>
        <v>-0.25811965811965815</v>
      </c>
      <c r="H21" s="58" t="s">
        <v>28</v>
      </c>
      <c r="I21" s="58"/>
      <c r="J21" s="58"/>
      <c r="K21" s="58"/>
    </row>
    <row r="22" spans="2:11" ht="18.600000000000001" x14ac:dyDescent="0.3">
      <c r="B22" s="36" t="s">
        <v>15</v>
      </c>
      <c r="C22" s="46">
        <f>F13*C$5</f>
        <v>679.35483870967744</v>
      </c>
      <c r="D22" s="47">
        <v>418</v>
      </c>
      <c r="E22" s="46">
        <f t="shared" si="0"/>
        <v>-261.35483870967744</v>
      </c>
      <c r="F22" s="39">
        <f>E22/C22</f>
        <v>-0.38471035137701803</v>
      </c>
    </row>
    <row r="23" spans="2:11" ht="18.600000000000001" x14ac:dyDescent="0.3">
      <c r="B23" s="13" t="s">
        <v>16</v>
      </c>
      <c r="C23" s="25">
        <f>F14*C$5</f>
        <v>4973.8064516129034</v>
      </c>
      <c r="D23" s="45">
        <v>4053</v>
      </c>
      <c r="E23" s="25">
        <f t="shared" si="0"/>
        <v>-920.8064516129034</v>
      </c>
      <c r="F23" s="21">
        <f>E23/C23</f>
        <v>-0.1851311386100086</v>
      </c>
      <c r="H23" s="48">
        <f ca="1">TODAY()</f>
        <v>46314</v>
      </c>
      <c r="I23" s="9">
        <v>2025</v>
      </c>
      <c r="J23" s="9">
        <v>2026</v>
      </c>
    </row>
    <row r="24" spans="2:11" ht="18.600000000000001" x14ac:dyDescent="0.3">
      <c r="B24" s="7"/>
      <c r="C24" s="7"/>
      <c r="D24" s="7"/>
      <c r="E24" s="7"/>
      <c r="F24" s="7"/>
      <c r="H24" s="29" t="s">
        <v>29</v>
      </c>
      <c r="I24" s="49">
        <v>1656</v>
      </c>
      <c r="J24" s="49">
        <v>1474</v>
      </c>
    </row>
    <row r="25" spans="2:11" ht="18.600000000000001" x14ac:dyDescent="0.3">
      <c r="B25" s="50" t="s">
        <v>30</v>
      </c>
      <c r="C25" s="51">
        <f>(D17/C$5)*C$4</f>
        <v>2899915.666666667</v>
      </c>
      <c r="D25" s="7"/>
      <c r="E25" s="50" t="s">
        <v>31</v>
      </c>
      <c r="F25" s="31">
        <f>C25/C8</f>
        <v>0.96663855555555567</v>
      </c>
      <c r="H25" s="11" t="s">
        <v>32</v>
      </c>
      <c r="I25" s="12">
        <v>2603</v>
      </c>
      <c r="J25" s="52">
        <v>3311</v>
      </c>
    </row>
    <row r="26" spans="2:11" ht="18.600000000000001" x14ac:dyDescent="0.3">
      <c r="H26" s="29" t="s">
        <v>33</v>
      </c>
      <c r="I26" s="49">
        <v>298</v>
      </c>
      <c r="J26" s="49">
        <v>413</v>
      </c>
    </row>
    <row r="27" spans="2:11" ht="18.600000000000001" x14ac:dyDescent="0.3">
      <c r="H27" s="11" t="s">
        <v>27</v>
      </c>
      <c r="I27" s="11">
        <f>SUM(I24:I26)</f>
        <v>4557</v>
      </c>
      <c r="J27" s="11">
        <f>SUM(J24:J26)</f>
        <v>5198</v>
      </c>
    </row>
    <row r="35" spans="2:6" x14ac:dyDescent="0.3">
      <c r="B35" s="53"/>
      <c r="C35" s="54"/>
      <c r="E35" s="53"/>
      <c r="F35" s="55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2026-10-19T06:53:24Z</dcterms:modified>
</cp:coreProperties>
</file>