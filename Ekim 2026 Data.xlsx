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794105F0-3F42-4B26-8C71-34578EE277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E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<sst xmlns="http://schemas.openxmlformats.org/spreadsheetml/2006/main" count="55" uniqueCount="34">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</sst>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3"/>
  <sheetViews>
    <sheetView tabSelected="1" zoomScale="50" zoomScaleNormal="50" workbookViewId="0">
      <selection activeCell="C6" sqref="C6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26</v>
      </c>
      <c r="D5" s="7"/>
      <c r="E5" s="7"/>
      <c r="F5" s="7"/>
      <c r="H5" s="13" t="s">
        <v>5</v>
      </c>
      <c r="I5" s="14">
        <v>1098444.81</v>
      </c>
      <c r="J5" s="14">
        <v>833809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-0.24091862202890291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1372687.53</v>
      </c>
      <c r="J8" s="14">
        <v>1258732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-8.3016365712887397E-2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74676.47</v>
      </c>
      <c r="J11" s="14">
        <v>76015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1.7924387695347654E-2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1679056.46</v>
      </c>
      <c r="J15" s="30">
        <v>1589391.52</v>
      </c>
      <c r="K15" s="31">
        <f>J15/I15-1</f>
        <v>-5.3401980300293195E-2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431172.98</v>
      </c>
      <c r="J16" s="34">
        <v>351890.03</v>
      </c>
      <c r="K16" s="31">
        <f>J16/I16-1</f>
        <v>-0.18387736170295266</v>
      </c>
    </row>
    <row r="17" spans="2:11" ht="18.600000000000001" x14ac:dyDescent="0.3">
      <c r="B17" s="13" t="s">
        <v>5</v>
      </c>
      <c r="C17" s="16">
        <f>F8*C$5</f>
        <v>2516129.0322580645</v>
      </c>
      <c r="D17" s="35">
        <v>2168555</v>
      </c>
      <c r="E17" s="16">
        <f t="shared" ref="E17:E23" si="0">D17-C17</f>
        <v>-347574.03225806449</v>
      </c>
      <c r="F17" s="21">
        <f>E17/C17</f>
        <v>-0.13813839743589743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1.64</v>
      </c>
      <c r="E18" s="37">
        <f t="shared" si="0"/>
        <v>-0.16000000000000014</v>
      </c>
      <c r="F18" s="39">
        <f>(D18-C18)/C18</f>
        <v>-8.8888888888888962E-2</v>
      </c>
      <c r="H18" s="11" t="s">
        <v>26</v>
      </c>
      <c r="I18" s="34">
        <v>435579.37</v>
      </c>
      <c r="J18" s="34">
        <v>226775.79</v>
      </c>
      <c r="K18" s="31">
        <f>J18/I18-1</f>
        <v>-0.47936976445877133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6.1800000000000001E-2</v>
      </c>
      <c r="E19" s="21">
        <f t="shared" si="0"/>
        <v>-8.2000000000000059E-3</v>
      </c>
      <c r="F19" s="21">
        <f>(D19-C19)/C19</f>
        <v>-0.11714285714285722</v>
      </c>
      <c r="H19" s="29" t="s">
        <v>27</v>
      </c>
      <c r="I19" s="41">
        <f>SUM(I15:I18)</f>
        <v>2545808.81</v>
      </c>
      <c r="J19" s="41">
        <f>SUM(J15:J18)</f>
        <v>2168057.34</v>
      </c>
      <c r="K19" s="31">
        <f>J19/I19-1</f>
        <v>-0.14838171213650575</v>
      </c>
    </row>
    <row r="20" spans="2:11" ht="18.600000000000001" x14ac:dyDescent="0.3">
      <c r="B20" s="36" t="s">
        <v>13</v>
      </c>
      <c r="C20" s="42">
        <f>F11</f>
        <v>2565</v>
      </c>
      <c r="D20" s="43">
        <v>4061</v>
      </c>
      <c r="E20" s="42">
        <f t="shared" si="0"/>
        <v>1496</v>
      </c>
      <c r="F20" s="39">
        <f>(D20-C20)/C20</f>
        <v>0.58323586744639377</v>
      </c>
      <c r="K20" s="44"/>
    </row>
    <row r="21" spans="2:11" ht="20.399999999999999" x14ac:dyDescent="0.3">
      <c r="B21" s="13" t="s">
        <v>14</v>
      </c>
      <c r="C21" s="25">
        <f>F12*C$5</f>
        <v>490.64516129032256</v>
      </c>
      <c r="D21" s="45">
        <v>326</v>
      </c>
      <c r="E21" s="25">
        <f t="shared" si="0"/>
        <v>-164.64516129032256</v>
      </c>
      <c r="F21" s="21">
        <f>E21/C21</f>
        <v>-0.33556870479947398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981.29032258064512</v>
      </c>
      <c r="D22" s="47">
        <v>534</v>
      </c>
      <c r="E22" s="46">
        <f t="shared" si="0"/>
        <v>-447.29032258064512</v>
      </c>
      <c r="F22" s="39">
        <f>E22/C22</f>
        <v>-0.455818540433925</v>
      </c>
    </row>
    <row r="23" spans="2:11" ht="18.600000000000001" x14ac:dyDescent="0.3">
      <c r="B23" s="13" t="s">
        <v>16</v>
      </c>
      <c r="C23" s="25">
        <f>F14*C$5</f>
        <v>7184.3870967741932</v>
      </c>
      <c r="D23" s="45">
        <v>5274</v>
      </c>
      <c r="E23" s="25">
        <f t="shared" si="0"/>
        <v>-1910.3870967741932</v>
      </c>
      <c r="F23" s="21">
        <f>E23/C23</f>
        <v>-0.26590815208606472</v>
      </c>
      <c r="H23" s="48">
        <f ca="1">TODAY()</f>
        <v>46322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1598</v>
      </c>
      <c r="J24" s="49">
        <v>1431</v>
      </c>
    </row>
    <row r="25" spans="2:11" ht="18.600000000000001" x14ac:dyDescent="0.3">
      <c r="B25" s="50" t="s">
        <v>30</v>
      </c>
      <c r="C25" s="51">
        <f>(D17/C$5)*C$4</f>
        <v>2585584.8076923075</v>
      </c>
      <c r="D25" s="7"/>
      <c r="E25" s="50" t="s">
        <v>31</v>
      </c>
      <c r="F25" s="31">
        <f>C25/C8</f>
        <v>0.86186160256410249</v>
      </c>
      <c r="H25" s="11" t="s">
        <v>32</v>
      </c>
      <c r="I25" s="12">
        <v>2481</v>
      </c>
      <c r="J25" s="52">
        <v>3146</v>
      </c>
    </row>
    <row r="26" spans="2:11" ht="18.600000000000001" x14ac:dyDescent="0.3">
      <c r="H26" s="29" t="s">
        <v>33</v>
      </c>
      <c r="I26" s="49">
        <v>281</v>
      </c>
      <c r="J26" s="49">
        <v>402</v>
      </c>
    </row>
    <row r="27" spans="2:11" ht="18.600000000000001" x14ac:dyDescent="0.3">
      <c r="H27" s="11" t="s">
        <v>27</v>
      </c>
      <c r="I27" s="11">
        <f>SUM(I24:I26)</f>
        <v>4360</v>
      </c>
      <c r="J27" s="11">
        <f>SUM(J24:J26)</f>
        <v>4979</v>
      </c>
    </row>
    <row r="33" spans="2:6" x14ac:dyDescent="0.3">
      <c r="B33" s="53"/>
      <c r="C33" s="54"/>
      <c r="E33" s="53"/>
      <c r="F33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2026-10-27T07:14:43Z</dcterms:modified>
</cp:coreProperties>
</file>