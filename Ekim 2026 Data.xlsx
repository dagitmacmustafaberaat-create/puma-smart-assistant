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magaza.mudur\Desktop\UYGULAMA İÇİN GEREKLİ DOSYALAR\"/>
    </mc:Choice>
  </mc:AlternateContent>
  <xr:revisionPtr revIDLastSave="0" documentId="13_ncr:1_{998970B8-17DE-4112-B319-0F87256DE0A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J27" i="1"/>
  <c r="I27" i="1"/>
  <c r="C25" i="1"/>
  <c r="F25" i="1" s="1"/>
  <c r="H23" i="1"/>
  <c r="J19" i="1"/>
  <c r="I19" i="1"/>
  <c r="C19" i="1"/>
  <c r="K18" i="1"/>
  <c r="K17" i="1"/>
  <c r="C17" i="1"/>
  <c r="E17" i="1" s="1"/>
  <c r="F17" i="1" s="1"/>
  <c r="K16" i="1"/>
  <c r="K15" i="1"/>
  <c r="F14" i="1"/>
  <c r="C23" i="1" s="1"/>
  <c r="E23" i="1" s="1"/>
  <c r="F23" i="1" s="1"/>
  <c r="F13" i="1"/>
  <c r="C22" i="1" s="1"/>
  <c r="E22" i="1" s="1"/>
  <c r="F22" i="1" s="1"/>
  <c r="I12" i="1"/>
  <c r="F12" i="1"/>
  <c r="C21" i="1" s="1"/>
  <c r="F11" i="1"/>
  <c r="C20" i="1" s="1"/>
  <c r="F10" i="1"/>
  <c r="I9" i="1"/>
  <c r="F9" i="1"/>
  <c r="C18" i="1" s="1"/>
  <c r="F8" i="1"/>
  <c r="I6" i="1"/>
  <c r="F19" i="1" l="1"/>
  <c r="E19" i="1"/>
  <c r="F21" i="1"/>
  <c r="K19" i="1"/>
  <c r="F18" i="1"/>
  <c r="E18" i="1"/>
  <c r="E20" i="1"/>
  <c r="F20" i="1"/>
</calcChain>
</file>

<file path=xl/sharedStrings.xml><?xml version="1.0" encoding="utf-8"?>
<sst xmlns="http://schemas.openxmlformats.org/spreadsheetml/2006/main" count="55" uniqueCount="34">
  <si>
    <t>MAĞAZA PERFORMANS VE AYLIK DEĞERLENDİRME RAPORU</t>
  </si>
  <si>
    <t xml:space="preserve">KATEGORİ &amp; CİNSİYET 2025 / 2026 </t>
  </si>
  <si>
    <t>Ay Gün Sayısı</t>
  </si>
  <si>
    <t>FOOTWEAR</t>
  </si>
  <si>
    <t>Geçen Gün Sayısı</t>
  </si>
  <si>
    <t>Ciro</t>
  </si>
  <si>
    <t>Büyüme</t>
  </si>
  <si>
    <t>Ekim.26 Hedefler</t>
  </si>
  <si>
    <t>Ekim.26 Günlük Yapılması Gerekenler</t>
  </si>
  <si>
    <t>APPAREL</t>
  </si>
  <si>
    <t>Upt</t>
  </si>
  <si>
    <t>Cr</t>
  </si>
  <si>
    <t>ACCESSORIES</t>
  </si>
  <si>
    <t>Asp</t>
  </si>
  <si>
    <t>Fatura</t>
  </si>
  <si>
    <t>Ürün Adedi</t>
  </si>
  <si>
    <t>Trafik</t>
  </si>
  <si>
    <t>CİNSİYET</t>
  </si>
  <si>
    <t>Male</t>
  </si>
  <si>
    <t>Kpı</t>
  </si>
  <si>
    <t>Gerçekleşmesi Gereken</t>
  </si>
  <si>
    <t>Gerçekleşen</t>
  </si>
  <si>
    <t>Fark</t>
  </si>
  <si>
    <t xml:space="preserve">Sapma </t>
  </si>
  <si>
    <t>Female</t>
  </si>
  <si>
    <t>Kids</t>
  </si>
  <si>
    <t>Unısex</t>
  </si>
  <si>
    <t>Total</t>
  </si>
  <si>
    <t>STOK 2025 / 2026</t>
  </si>
  <si>
    <t>Footwear</t>
  </si>
  <si>
    <t>Tahmini Kapanış Cirosu</t>
  </si>
  <si>
    <t>Hgo</t>
  </si>
  <si>
    <t>Apparel</t>
  </si>
  <si>
    <t>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</si>
</sst>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\ \T\L"/>
    <numFmt numFmtId="165" formatCode="#,###\T\L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162"/>
    </font>
    <font>
      <b/>
      <sz val="16"/>
      <color rgb="FF1F4E78"/>
      <name val="Tahoma"/>
      <family val="2"/>
      <charset val="162"/>
    </font>
    <font>
      <b/>
      <sz val="15"/>
      <color theme="8" tint="-0.249977111117893"/>
      <name val="Tahoma"/>
      <family val="2"/>
      <charset val="162"/>
    </font>
    <font>
      <b/>
      <sz val="15"/>
      <color theme="1"/>
      <name val="Tahoma"/>
      <family val="2"/>
      <charset val="162"/>
    </font>
    <font>
      <b/>
      <sz val="15"/>
      <color rgb="FFFFFFFF"/>
      <name val="Tahoma"/>
      <family val="2"/>
      <charset val="162"/>
    </font>
    <font>
      <sz val="15"/>
      <color theme="1"/>
      <name val="Calibri"/>
      <family val="2"/>
      <scheme val="minor"/>
    </font>
    <font>
      <b/>
      <sz val="15"/>
      <color theme="0"/>
      <name val="Tahoma"/>
      <family val="2"/>
      <charset val="162"/>
    </font>
    <font>
      <b/>
      <sz val="15"/>
      <color theme="8" tint="-0.499984740745262"/>
      <name val="Tahoma"/>
      <family val="2"/>
      <charset val="162"/>
    </font>
    <font>
      <b/>
      <sz val="22"/>
      <color theme="0"/>
      <name val="Calibri"/>
      <family val="2"/>
      <charset val="162"/>
      <scheme val="minor"/>
    </font>
    <font>
      <b/>
      <sz val="12"/>
      <color rgb="FFFFFFFF"/>
      <name val="Tahoma"/>
      <family val="2"/>
      <charset val="162"/>
    </font>
    <font>
      <sz val="12"/>
      <name val="Tahoma"/>
      <family val="2"/>
      <charset val="162"/>
    </font>
    <font>
      <b/>
      <sz val="12"/>
      <name val="Tahoma"/>
      <family val="2"/>
      <charset val="162"/>
    </font>
    <font>
      <b/>
      <sz val="12"/>
      <color rgb="FFFF0000"/>
      <name val="Tahoma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1F4E78"/>
      </patternFill>
    </fill>
    <fill>
      <patternFill patternType="solid">
        <fgColor theme="4" tint="-0.499984740745262"/>
        <bgColor rgb="FFF9FBFD"/>
      </patternFill>
    </fill>
    <fill>
      <patternFill patternType="solid">
        <fgColor rgb="FF00B050"/>
        <bgColor rgb="FFF9FBFD"/>
      </patternFill>
    </fill>
  </fills>
  <borders count="6">
    <border>
      <left/>
      <right/>
      <top/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0" borderId="0" xfId="0" applyFont="1"/>
    <xf numFmtId="0" fontId="7" fillId="4" borderId="0" xfId="0" applyFont="1" applyFill="1" applyAlignment="1">
      <alignment horizontal="center" vertical="center"/>
    </xf>
    <xf numFmtId="0" fontId="7" fillId="4" borderId="0" xfId="0" applyFont="1" applyFill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7" fillId="5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2" fontId="7" fillId="4" borderId="2" xfId="0" applyNumberFormat="1" applyFont="1" applyFill="1" applyBorder="1" applyAlignment="1" applyProtection="1">
      <alignment horizontal="center" vertical="center"/>
      <protection locked="0"/>
    </xf>
    <xf numFmtId="2" fontId="7" fillId="4" borderId="2" xfId="0" applyNumberFormat="1" applyFont="1" applyFill="1" applyBorder="1" applyAlignment="1">
      <alignment horizontal="center" vertical="center"/>
    </xf>
    <xf numFmtId="10" fontId="8" fillId="2" borderId="2" xfId="0" applyNumberFormat="1" applyFont="1" applyFill="1" applyBorder="1" applyAlignment="1" applyProtection="1">
      <alignment horizontal="center" vertical="center"/>
      <protection locked="0"/>
    </xf>
    <xf numFmtId="10" fontId="8" fillId="2" borderId="2" xfId="0" applyNumberFormat="1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 applyProtection="1">
      <alignment horizontal="center" vertical="center"/>
      <protection locked="0"/>
    </xf>
    <xf numFmtId="164" fontId="7" fillId="4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 applyProtection="1">
      <alignment horizontal="center" vertical="center"/>
      <protection locked="0"/>
    </xf>
    <xf numFmtId="3" fontId="8" fillId="2" borderId="2" xfId="0" applyNumberFormat="1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 applyProtection="1">
      <alignment horizontal="center" vertical="center"/>
      <protection locked="0"/>
    </xf>
    <xf numFmtId="3" fontId="7" fillId="4" borderId="2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0" fontId="7" fillId="5" borderId="0" xfId="0" applyNumberFormat="1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 applyProtection="1">
      <alignment horizontal="center" vertical="center"/>
      <protection locked="0"/>
    </xf>
    <xf numFmtId="164" fontId="7" fillId="4" borderId="0" xfId="0" applyNumberFormat="1" applyFont="1" applyFill="1" applyAlignment="1" applyProtection="1">
      <alignment horizontal="center" vertical="center"/>
      <protection locked="0"/>
    </xf>
    <xf numFmtId="164" fontId="7" fillId="5" borderId="2" xfId="0" applyNumberFormat="1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2" fontId="7" fillId="7" borderId="2" xfId="0" applyNumberFormat="1" applyFont="1" applyFill="1" applyBorder="1" applyAlignment="1">
      <alignment horizontal="center" vertical="center"/>
    </xf>
    <xf numFmtId="2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7" fillId="7" borderId="2" xfId="0" applyNumberFormat="1" applyFont="1" applyFill="1" applyBorder="1" applyAlignment="1">
      <alignment horizontal="center" vertical="center"/>
    </xf>
    <xf numFmtId="10" fontId="7" fillId="5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0" xfId="0" applyNumberFormat="1" applyFont="1" applyFill="1" applyAlignment="1">
      <alignment horizontal="center" vertical="center"/>
    </xf>
    <xf numFmtId="164" fontId="7" fillId="7" borderId="2" xfId="0" applyNumberFormat="1" applyFont="1" applyFill="1" applyBorder="1" applyAlignment="1">
      <alignment horizontal="center" vertical="center"/>
    </xf>
    <xf numFmtId="164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0" fillId="0" borderId="0" xfId="0" applyNumberFormat="1"/>
    <xf numFmtId="3" fontId="7" fillId="5" borderId="2" xfId="0" applyNumberFormat="1" applyFont="1" applyFill="1" applyBorder="1" applyAlignment="1" applyProtection="1">
      <alignment horizontal="center" vertical="center"/>
      <protection locked="0"/>
    </xf>
    <xf numFmtId="3" fontId="7" fillId="7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 applyProtection="1">
      <alignment horizontal="center" vertical="center"/>
      <protection locked="0"/>
    </xf>
    <xf numFmtId="14" fontId="10" fillId="3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 applyProtection="1">
      <alignment horizontal="center" vertical="center"/>
      <protection locked="0"/>
    </xf>
    <xf numFmtId="0" fontId="7" fillId="5" borderId="0" xfId="0" applyFont="1" applyFill="1" applyAlignment="1">
      <alignment horizontal="center" vertical="center"/>
    </xf>
    <xf numFmtId="165" fontId="7" fillId="5" borderId="0" xfId="0" applyNumberFormat="1" applyFont="1" applyFill="1" applyAlignment="1">
      <alignment horizontal="center" vertical="center"/>
    </xf>
    <xf numFmtId="4" fontId="7" fillId="4" borderId="0" xfId="0" applyNumberFormat="1" applyFont="1" applyFill="1" applyAlignment="1" applyProtection="1">
      <alignment horizontal="center" vertical="center"/>
      <protection locked="0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9" fontId="9" fillId="5" borderId="3" xfId="0" applyNumberFormat="1" applyFont="1" applyFill="1" applyBorder="1" applyAlignment="1" applyProtection="1">
      <alignment horizontal="center"/>
      <protection locked="0"/>
    </xf>
    <xf numFmtId="9" fontId="9" fillId="5" borderId="4" xfId="0" applyNumberFormat="1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5" fillId="3" borderId="0" xfId="0" applyFont="1" applyFill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33"/>
  <sheetViews>
    <sheetView tabSelected="1" zoomScale="50" zoomScaleNormal="50" workbookViewId="0">
      <selection activeCell="C6" sqref="C6"/>
    </sheetView>
  </sheetViews>
  <sheetFormatPr defaultRowHeight="15" x14ac:dyDescent="0.3"/>
  <cols>
    <col min="1" max="1" width="3" style="4" customWidth="1"/>
    <col min="2" max="2" width="31.6640625" style="4" customWidth="1"/>
    <col min="3" max="3" width="33.44140625" style="4" customWidth="1"/>
    <col min="4" max="4" width="25.33203125" style="4" customWidth="1"/>
    <col min="5" max="5" width="23.5546875" style="4" customWidth="1"/>
    <col min="6" max="6" width="20.5546875" style="4" customWidth="1"/>
    <col min="7" max="7" width="3.33203125" customWidth="1"/>
    <col min="8" max="10" width="26" customWidth="1"/>
    <col min="11" max="11" width="22.33203125" customWidth="1"/>
  </cols>
  <sheetData>
    <row r="2" spans="1:11" s="3" customFormat="1" ht="20.399999999999999" x14ac:dyDescent="0.3">
      <c r="A2" s="1"/>
      <c r="B2" s="58" t="s">
        <v>0</v>
      </c>
      <c r="C2" s="58"/>
      <c r="D2" s="58"/>
      <c r="E2" s="58"/>
      <c r="F2" s="1"/>
      <c r="H2" s="58" t="s">
        <v>1</v>
      </c>
      <c r="I2" s="58"/>
      <c r="J2" s="58"/>
      <c r="K2" s="58"/>
    </row>
    <row r="3" spans="1:11" ht="20.399999999999999" x14ac:dyDescent="0.3">
      <c r="B3" s="2"/>
      <c r="C3" s="2"/>
      <c r="D3" s="2"/>
      <c r="E3" s="2"/>
    </row>
    <row r="4" spans="1:11" ht="19.8" x14ac:dyDescent="0.4">
      <c r="B4" s="5" t="s">
        <v>2</v>
      </c>
      <c r="C4" s="6">
        <v>31</v>
      </c>
      <c r="D4" s="7"/>
      <c r="E4" s="7"/>
      <c r="F4" s="7"/>
      <c r="H4" s="8" t="s">
        <v>3</v>
      </c>
      <c r="I4" s="9">
        <v>2025</v>
      </c>
      <c r="J4" s="9">
        <v>2026</v>
      </c>
      <c r="K4" s="10"/>
    </row>
    <row r="5" spans="1:11" ht="19.8" x14ac:dyDescent="0.4">
      <c r="B5" s="11" t="s">
        <v>4</v>
      </c>
      <c r="C5" s="12">
        <v>24</v>
      </c>
      <c r="D5" s="7"/>
      <c r="E5" s="7"/>
      <c r="F5" s="7"/>
      <c r="H5" s="13" t="s">
        <v>5</v>
      </c>
      <c r="I5" s="14">
        <v>986768.63</v>
      </c>
      <c r="J5" s="14">
        <v>719281</v>
      </c>
      <c r="K5" s="10"/>
    </row>
    <row r="6" spans="1:11" ht="28.8" x14ac:dyDescent="0.55000000000000004">
      <c r="B6" s="7"/>
      <c r="C6" s="7"/>
      <c r="D6" s="7"/>
      <c r="E6" s="7"/>
      <c r="F6" s="7"/>
      <c r="H6" s="15" t="s">
        <v>6</v>
      </c>
      <c r="I6" s="56">
        <f>J5/I5-1</f>
        <v>-0.27107431455335174</v>
      </c>
      <c r="J6" s="57"/>
      <c r="K6" s="10"/>
    </row>
    <row r="7" spans="1:11" ht="19.8" x14ac:dyDescent="0.4">
      <c r="B7" s="59" t="s">
        <v>7</v>
      </c>
      <c r="C7" s="60"/>
      <c r="D7" s="7"/>
      <c r="E7" s="59" t="s">
        <v>8</v>
      </c>
      <c r="F7" s="60"/>
      <c r="H7" s="8" t="s">
        <v>9</v>
      </c>
      <c r="I7" s="9">
        <v>2025</v>
      </c>
      <c r="J7" s="9">
        <v>2026</v>
      </c>
      <c r="K7" s="10"/>
    </row>
    <row r="8" spans="1:11" ht="19.8" x14ac:dyDescent="0.4">
      <c r="B8" s="13" t="s">
        <v>5</v>
      </c>
      <c r="C8" s="14">
        <v>3000000</v>
      </c>
      <c r="D8" s="7"/>
      <c r="E8" s="13" t="s">
        <v>5</v>
      </c>
      <c r="F8" s="16">
        <f>C8/C$4</f>
        <v>96774.193548387091</v>
      </c>
      <c r="H8" s="13" t="s">
        <v>5</v>
      </c>
      <c r="I8" s="14">
        <v>1172442.98</v>
      </c>
      <c r="J8" s="14">
        <v>1107547</v>
      </c>
      <c r="K8" s="10"/>
    </row>
    <row r="9" spans="1:11" ht="28.8" x14ac:dyDescent="0.55000000000000004">
      <c r="B9" s="17" t="s">
        <v>10</v>
      </c>
      <c r="C9" s="18">
        <v>1.8</v>
      </c>
      <c r="D9" s="7"/>
      <c r="E9" s="17" t="s">
        <v>10</v>
      </c>
      <c r="F9" s="19">
        <f>C9</f>
        <v>1.8</v>
      </c>
      <c r="H9" s="15" t="s">
        <v>6</v>
      </c>
      <c r="I9" s="56">
        <f>J8/I8-1</f>
        <v>-5.5351075580664877E-2</v>
      </c>
      <c r="J9" s="57"/>
      <c r="K9" s="10"/>
    </row>
    <row r="10" spans="1:11" ht="19.8" x14ac:dyDescent="0.4">
      <c r="B10" s="13" t="s">
        <v>11</v>
      </c>
      <c r="C10" s="20">
        <v>7.0000000000000007E-2</v>
      </c>
      <c r="D10" s="7"/>
      <c r="E10" s="13" t="s">
        <v>11</v>
      </c>
      <c r="F10" s="21">
        <f>C10</f>
        <v>7.0000000000000007E-2</v>
      </c>
      <c r="H10" s="8" t="s">
        <v>12</v>
      </c>
      <c r="I10" s="9">
        <v>2025</v>
      </c>
      <c r="J10" s="9">
        <v>2026</v>
      </c>
      <c r="K10" s="10"/>
    </row>
    <row r="11" spans="1:11" ht="19.8" x14ac:dyDescent="0.4">
      <c r="B11" s="17" t="s">
        <v>13</v>
      </c>
      <c r="C11" s="22">
        <v>2565</v>
      </c>
      <c r="D11" s="7"/>
      <c r="E11" s="17" t="s">
        <v>13</v>
      </c>
      <c r="F11" s="23">
        <f>C11</f>
        <v>2565</v>
      </c>
      <c r="H11" s="13" t="s">
        <v>5</v>
      </c>
      <c r="I11" s="14">
        <v>63903.71</v>
      </c>
      <c r="J11" s="14">
        <v>65358</v>
      </c>
      <c r="K11" s="10"/>
    </row>
    <row r="12" spans="1:11" ht="28.8" x14ac:dyDescent="0.55000000000000004">
      <c r="B12" s="13" t="s">
        <v>14</v>
      </c>
      <c r="C12" s="24">
        <v>585</v>
      </c>
      <c r="D12" s="7"/>
      <c r="E12" s="13" t="s">
        <v>14</v>
      </c>
      <c r="F12" s="25">
        <f>C12/C$4</f>
        <v>18.870967741935484</v>
      </c>
      <c r="H12" s="15" t="s">
        <v>6</v>
      </c>
      <c r="I12" s="56">
        <f>J11/I11-1</f>
        <v>2.2757520650992014E-2</v>
      </c>
      <c r="J12" s="57"/>
      <c r="K12" s="10"/>
    </row>
    <row r="13" spans="1:11" ht="19.8" x14ac:dyDescent="0.4">
      <c r="B13" s="17" t="s">
        <v>15</v>
      </c>
      <c r="C13" s="26">
        <v>1170</v>
      </c>
      <c r="D13" s="7"/>
      <c r="E13" s="17" t="s">
        <v>15</v>
      </c>
      <c r="F13" s="27">
        <f>C13/C$4</f>
        <v>37.741935483870968</v>
      </c>
      <c r="H13" s="10"/>
      <c r="I13" s="10"/>
      <c r="J13" s="10"/>
      <c r="K13" s="10"/>
    </row>
    <row r="14" spans="1:11" ht="18.600000000000001" x14ac:dyDescent="0.3">
      <c r="B14" s="13" t="s">
        <v>16</v>
      </c>
      <c r="C14" s="24">
        <v>8566</v>
      </c>
      <c r="D14" s="7"/>
      <c r="E14" s="13" t="s">
        <v>16</v>
      </c>
      <c r="F14" s="25">
        <f>C14/C$4</f>
        <v>276.32258064516128</v>
      </c>
      <c r="H14" s="8" t="s">
        <v>17</v>
      </c>
      <c r="I14" s="9">
        <v>2025</v>
      </c>
      <c r="J14" s="9">
        <v>2026</v>
      </c>
      <c r="K14" s="28" t="s">
        <v>6</v>
      </c>
    </row>
    <row r="15" spans="1:11" ht="18.600000000000001" x14ac:dyDescent="0.3">
      <c r="B15" s="7"/>
      <c r="C15" s="7"/>
      <c r="D15" s="7"/>
      <c r="E15" s="7"/>
      <c r="F15" s="7"/>
      <c r="H15" s="29" t="s">
        <v>18</v>
      </c>
      <c r="I15" s="30">
        <v>1520939</v>
      </c>
      <c r="J15" s="30">
        <v>1402892.56</v>
      </c>
      <c r="K15" s="31">
        <f>J15/I15-1</f>
        <v>-7.761418439529788E-2</v>
      </c>
    </row>
    <row r="16" spans="1:11" ht="19.2" thickBot="1" x14ac:dyDescent="0.35">
      <c r="B16" s="32" t="s">
        <v>19</v>
      </c>
      <c r="C16" s="32" t="s">
        <v>20</v>
      </c>
      <c r="D16" s="33" t="s">
        <v>21</v>
      </c>
      <c r="E16" s="32" t="s">
        <v>22</v>
      </c>
      <c r="F16" s="32" t="s">
        <v>23</v>
      </c>
      <c r="H16" s="11" t="s">
        <v>24</v>
      </c>
      <c r="I16" s="34">
        <v>352516</v>
      </c>
      <c r="J16" s="34">
        <v>289606.49</v>
      </c>
      <c r="K16" s="31">
        <f>J16/I16-1</f>
        <v>-0.17845859478718695</v>
      </c>
    </row>
    <row r="17" spans="2:11" ht="18.600000000000001" x14ac:dyDescent="0.3">
      <c r="B17" s="13" t="s">
        <v>5</v>
      </c>
      <c r="C17" s="16">
        <f>F8*C$5</f>
        <v>2322580.6451612902</v>
      </c>
      <c r="D17" s="35">
        <v>1892185</v>
      </c>
      <c r="E17" s="16">
        <f t="shared" ref="E17:E23" si="0">D17-C17</f>
        <v>-430395.64516129019</v>
      </c>
      <c r="F17" s="21">
        <f>E17/C17</f>
        <v>-0.18530923611111105</v>
      </c>
      <c r="H17" s="29" t="s">
        <v>25</v>
      </c>
      <c r="I17" s="30"/>
      <c r="J17" s="30"/>
      <c r="K17" s="31" t="e">
        <f>J17/I17-1</f>
        <v>#DIV/0!</v>
      </c>
    </row>
    <row r="18" spans="2:11" ht="18.600000000000001" x14ac:dyDescent="0.3">
      <c r="B18" s="36" t="s">
        <v>10</v>
      </c>
      <c r="C18" s="37">
        <f>F9</f>
        <v>1.8</v>
      </c>
      <c r="D18" s="38">
        <v>1.63</v>
      </c>
      <c r="E18" s="37">
        <f t="shared" si="0"/>
        <v>-0.17000000000000015</v>
      </c>
      <c r="F18" s="39">
        <f>(D18-C18)/C18</f>
        <v>-9.4444444444444525E-2</v>
      </c>
      <c r="H18" s="11" t="s">
        <v>26</v>
      </c>
      <c r="I18" s="34">
        <v>380669.28</v>
      </c>
      <c r="J18" s="34">
        <v>199771.98</v>
      </c>
      <c r="K18" s="31">
        <f>J18/I18-1</f>
        <v>-0.47520855898852676</v>
      </c>
    </row>
    <row r="19" spans="2:11" ht="18.600000000000001" x14ac:dyDescent="0.3">
      <c r="B19" s="13" t="s">
        <v>11</v>
      </c>
      <c r="C19" s="21">
        <f>F10</f>
        <v>7.0000000000000007E-2</v>
      </c>
      <c r="D19" s="40">
        <v>5.9499999999999997E-2</v>
      </c>
      <c r="E19" s="21">
        <f t="shared" si="0"/>
        <v>-1.0500000000000009E-2</v>
      </c>
      <c r="F19" s="21">
        <f>(D19-C19)/C19</f>
        <v>-0.15000000000000011</v>
      </c>
      <c r="H19" s="29" t="s">
        <v>27</v>
      </c>
      <c r="I19" s="41">
        <f>SUM(I15:I18)</f>
        <v>2254124.2800000003</v>
      </c>
      <c r="J19" s="41">
        <f>SUM(J15:J18)</f>
        <v>1892271.03</v>
      </c>
      <c r="K19" s="31">
        <f>J19/I19-1</f>
        <v>-0.1605294141102106</v>
      </c>
    </row>
    <row r="20" spans="2:11" ht="18.600000000000001" x14ac:dyDescent="0.3">
      <c r="B20" s="36" t="s">
        <v>13</v>
      </c>
      <c r="C20" s="42">
        <f>F11</f>
        <v>2565</v>
      </c>
      <c r="D20" s="43">
        <v>4060</v>
      </c>
      <c r="E20" s="42">
        <f t="shared" si="0"/>
        <v>1495</v>
      </c>
      <c r="F20" s="39">
        <f>(D20-C20)/C20</f>
        <v>0.5828460038986355</v>
      </c>
      <c r="K20" s="44"/>
    </row>
    <row r="21" spans="2:11" ht="20.399999999999999" x14ac:dyDescent="0.3">
      <c r="B21" s="13" t="s">
        <v>14</v>
      </c>
      <c r="C21" s="25">
        <f>F12*C$5</f>
        <v>452.90322580645159</v>
      </c>
      <c r="D21" s="45">
        <v>286</v>
      </c>
      <c r="E21" s="25">
        <f t="shared" si="0"/>
        <v>-166.90322580645159</v>
      </c>
      <c r="F21" s="21">
        <f>E21/C21</f>
        <v>-0.36851851851851847</v>
      </c>
      <c r="H21" s="58" t="s">
        <v>28</v>
      </c>
      <c r="I21" s="58"/>
      <c r="J21" s="58"/>
      <c r="K21" s="58"/>
    </row>
    <row r="22" spans="2:11" ht="18.600000000000001" x14ac:dyDescent="0.3">
      <c r="B22" s="36" t="s">
        <v>15</v>
      </c>
      <c r="C22" s="46">
        <f>F13*C$5</f>
        <v>905.80645161290317</v>
      </c>
      <c r="D22" s="47">
        <v>466</v>
      </c>
      <c r="E22" s="46">
        <f t="shared" si="0"/>
        <v>-439.80645161290317</v>
      </c>
      <c r="F22" s="39">
        <f>E22/C22</f>
        <v>-0.4855413105413105</v>
      </c>
    </row>
    <row r="23" spans="2:11" ht="18.600000000000001" x14ac:dyDescent="0.3">
      <c r="B23" s="13" t="s">
        <v>16</v>
      </c>
      <c r="C23" s="25">
        <f>F14*C$5</f>
        <v>6631.7419354838712</v>
      </c>
      <c r="D23" s="45">
        <v>4805</v>
      </c>
      <c r="E23" s="25">
        <f t="shared" si="0"/>
        <v>-1826.7419354838712</v>
      </c>
      <c r="F23" s="21">
        <f>E23/C23</f>
        <v>-0.27545431551093474</v>
      </c>
      <c r="H23" s="48">
        <f ca="1">TODAY()</f>
        <v>46320</v>
      </c>
      <c r="I23" s="9">
        <v>2025</v>
      </c>
      <c r="J23" s="9">
        <v>2026</v>
      </c>
    </row>
    <row r="24" spans="2:11" ht="18.600000000000001" x14ac:dyDescent="0.3">
      <c r="B24" s="7"/>
      <c r="C24" s="7"/>
      <c r="D24" s="7"/>
      <c r="E24" s="7"/>
      <c r="F24" s="7"/>
      <c r="H24" s="29" t="s">
        <v>29</v>
      </c>
      <c r="I24" s="49">
        <v>1615</v>
      </c>
      <c r="J24" s="49">
        <v>1453</v>
      </c>
    </row>
    <row r="25" spans="2:11" ht="18.600000000000001" x14ac:dyDescent="0.3">
      <c r="B25" s="50" t="s">
        <v>30</v>
      </c>
      <c r="C25" s="51">
        <f>(D17/C$5)*C$4</f>
        <v>2444072.291666667</v>
      </c>
      <c r="D25" s="7"/>
      <c r="E25" s="50" t="s">
        <v>31</v>
      </c>
      <c r="F25" s="31">
        <f>C25/C8</f>
        <v>0.81469076388888895</v>
      </c>
      <c r="H25" s="11" t="s">
        <v>32</v>
      </c>
      <c r="I25" s="12">
        <v>2502</v>
      </c>
      <c r="J25" s="52">
        <v>3221</v>
      </c>
    </row>
    <row r="26" spans="2:11" ht="18.600000000000001" x14ac:dyDescent="0.3">
      <c r="H26" s="29" t="s">
        <v>33</v>
      </c>
      <c r="I26" s="49">
        <v>284</v>
      </c>
      <c r="J26" s="49">
        <v>410</v>
      </c>
    </row>
    <row r="27" spans="2:11" ht="18.600000000000001" x14ac:dyDescent="0.3">
      <c r="H27" s="11" t="s">
        <v>27</v>
      </c>
      <c r="I27" s="11">
        <f>SUM(I24:I26)</f>
        <v>4401</v>
      </c>
      <c r="J27" s="11">
        <f>SUM(J24:J26)</f>
        <v>5084</v>
      </c>
    </row>
    <row r="33" spans="2:6" x14ac:dyDescent="0.3">
      <c r="B33" s="53"/>
      <c r="C33" s="54"/>
      <c r="E33" s="53"/>
      <c r="F33" s="55"/>
    </row>
  </sheetData>
  <mergeCells count="8">
    <mergeCell ref="I12:J12"/>
    <mergeCell ref="H21:K21"/>
    <mergeCell ref="B2:E2"/>
    <mergeCell ref="H2:K2"/>
    <mergeCell ref="I6:J6"/>
    <mergeCell ref="B7:C7"/>
    <mergeCell ref="E7:F7"/>
    <mergeCell ref="I9:J9"/>
  </mergeCells>
  <conditionalFormatting sqref="D17">
    <cfRule type="cellIs" dxfId="13" priority="13" operator="lessThan">
      <formula>$C$17</formula>
    </cfRule>
    <cfRule type="cellIs" dxfId="12" priority="14" operator="greaterThan">
      <formula>$C$17</formula>
    </cfRule>
  </conditionalFormatting>
  <conditionalFormatting sqref="D18">
    <cfRule type="cellIs" dxfId="11" priority="11" operator="lessThan">
      <formula>$C$18</formula>
    </cfRule>
    <cfRule type="cellIs" dxfId="10" priority="12" operator="greaterThan">
      <formula>$C$18</formula>
    </cfRule>
  </conditionalFormatting>
  <conditionalFormatting sqref="D19">
    <cfRule type="cellIs" dxfId="9" priority="9" operator="lessThan">
      <formula>$C$19</formula>
    </cfRule>
    <cfRule type="cellIs" dxfId="8" priority="10" operator="greaterThan">
      <formula>$C$19</formula>
    </cfRule>
  </conditionalFormatting>
  <conditionalFormatting sqref="D20">
    <cfRule type="cellIs" dxfId="7" priority="7" operator="lessThan">
      <formula>$C$20</formula>
    </cfRule>
    <cfRule type="cellIs" dxfId="6" priority="8" operator="greaterThan">
      <formula>$C$20</formula>
    </cfRule>
  </conditionalFormatting>
  <conditionalFormatting sqref="D21">
    <cfRule type="cellIs" dxfId="5" priority="5" operator="lessThan">
      <formula>$C$21</formula>
    </cfRule>
    <cfRule type="cellIs" dxfId="4" priority="6" operator="greaterThan">
      <formula>$C$21</formula>
    </cfRule>
  </conditionalFormatting>
  <conditionalFormatting sqref="D22">
    <cfRule type="cellIs" dxfId="3" priority="3" operator="lessThan">
      <formula>$C$22</formula>
    </cfRule>
    <cfRule type="cellIs" dxfId="2" priority="4" operator="greaterThan">
      <formula>$C$22</formula>
    </cfRule>
  </conditionalFormatting>
  <conditionalFormatting sqref="D23">
    <cfRule type="cellIs" dxfId="1" priority="1" operator="lessThan">
      <formula>$C$23</formula>
    </cfRule>
    <cfRule type="cellIs" dxfId="0" priority="2" operator="greaterThan">
      <formula>$C$23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magaza.mudur</dc:creator>
  <cp:lastModifiedBy>Mustafa Berat Dağıtmaç</cp:lastModifiedBy>
  <dcterms:created xsi:type="dcterms:W3CDTF">2015-06-05T18:19:34Z</dcterms:created>
  <dcterms:modified xsi:type="dcterms:W3CDTF">2026-10-25T06:46:07Z</dcterms:modified>
</cp:coreProperties>
</file>