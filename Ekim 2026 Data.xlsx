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2B2D9412-7BA3-492F-B64D-B5A51BEE52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<sst xmlns="http://schemas.openxmlformats.org/spreadsheetml/2006/main" count="55" uniqueCount="34">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</sst>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top" wrapText="1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33"/>
  <sheetViews>
    <sheetView tabSelected="1" zoomScale="50" zoomScaleNormal="50" workbookViewId="0">
      <selection activeCell="J25" sqref="J25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22" s="3" customFormat="1" ht="20.399999999999999" x14ac:dyDescent="0.3">
      <c r="A2" s="1"/>
      <c r="B2" s="59" t="s">
        <v>0</v>
      </c>
      <c r="C2" s="59"/>
      <c r="D2" s="59"/>
      <c r="E2" s="59"/>
      <c r="F2" s="1"/>
      <c r="H2" s="59" t="s">
        <v>1</v>
      </c>
      <c r="I2" s="59"/>
      <c r="J2" s="59"/>
      <c r="K2" s="59"/>
      <c r="M2" s="56"/>
      <c r="N2" s="56"/>
      <c r="O2" s="56"/>
      <c r="P2" s="56"/>
      <c r="Q2" s="56"/>
      <c r="R2" s="56"/>
      <c r="S2" s="56"/>
      <c r="T2" s="56"/>
      <c r="U2" s="56"/>
      <c r="V2" s="56"/>
    </row>
    <row r="3" spans="1:22" ht="20.399999999999999" x14ac:dyDescent="0.3">
      <c r="B3" s="2"/>
      <c r="C3" s="2"/>
      <c r="D3" s="2"/>
      <c r="E3" s="2"/>
      <c r="M3" s="56"/>
      <c r="N3" s="56"/>
      <c r="O3" s="56"/>
      <c r="P3" s="56"/>
      <c r="Q3" s="56"/>
      <c r="R3" s="56"/>
      <c r="S3" s="56"/>
      <c r="T3" s="56"/>
      <c r="U3" s="56"/>
      <c r="V3" s="56"/>
    </row>
    <row r="4" spans="1:22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  <c r="M4" s="56"/>
      <c r="N4" s="56"/>
      <c r="O4" s="56"/>
      <c r="P4" s="56"/>
      <c r="Q4" s="56"/>
      <c r="R4" s="56"/>
      <c r="S4" s="56"/>
      <c r="T4" s="56"/>
      <c r="U4" s="56"/>
      <c r="V4" s="56"/>
    </row>
    <row r="5" spans="1:22" ht="19.8" x14ac:dyDescent="0.4">
      <c r="B5" s="11" t="s">
        <v>4</v>
      </c>
      <c r="C5" s="12">
        <v>19</v>
      </c>
      <c r="D5" s="7"/>
      <c r="E5" s="7"/>
      <c r="F5" s="7"/>
      <c r="H5" s="13" t="s">
        <v>5</v>
      </c>
      <c r="I5" s="14">
        <v>870953</v>
      </c>
      <c r="J5" s="14">
        <v>668356.39</v>
      </c>
      <c r="K5" s="10"/>
      <c r="M5" s="56"/>
      <c r="N5" s="56"/>
      <c r="O5" s="56"/>
      <c r="P5" s="56"/>
      <c r="Q5" s="56"/>
      <c r="R5" s="56"/>
      <c r="S5" s="56"/>
      <c r="T5" s="56"/>
      <c r="U5" s="56"/>
      <c r="V5" s="56"/>
    </row>
    <row r="6" spans="1:22" ht="28.8" x14ac:dyDescent="0.55000000000000004">
      <c r="B6" s="7"/>
      <c r="C6" s="7"/>
      <c r="D6" s="7"/>
      <c r="E6" s="7"/>
      <c r="F6" s="7"/>
      <c r="H6" s="15" t="s">
        <v>6</v>
      </c>
      <c r="I6" s="57">
        <f>J5/I5-1</f>
        <v>-0.23261485981447905</v>
      </c>
      <c r="J6" s="58"/>
      <c r="K6" s="10"/>
      <c r="M6" s="56"/>
      <c r="N6" s="56"/>
      <c r="O6" s="56"/>
      <c r="P6" s="56"/>
      <c r="Q6" s="56"/>
      <c r="R6" s="56"/>
      <c r="S6" s="56"/>
      <c r="T6" s="56"/>
      <c r="U6" s="56"/>
      <c r="V6" s="56"/>
    </row>
    <row r="7" spans="1:22" ht="19.8" x14ac:dyDescent="0.4">
      <c r="B7" s="60" t="s">
        <v>7</v>
      </c>
      <c r="C7" s="61"/>
      <c r="D7" s="7"/>
      <c r="E7" s="60" t="s">
        <v>8</v>
      </c>
      <c r="F7" s="61"/>
      <c r="H7" s="8" t="s">
        <v>9</v>
      </c>
      <c r="I7" s="9">
        <v>2025</v>
      </c>
      <c r="J7" s="9">
        <v>2026</v>
      </c>
      <c r="K7" s="10"/>
      <c r="M7" s="56"/>
      <c r="N7" s="56"/>
      <c r="O7" s="56"/>
      <c r="P7" s="56"/>
      <c r="Q7" s="56"/>
      <c r="R7" s="56"/>
      <c r="S7" s="56"/>
      <c r="T7" s="56"/>
      <c r="U7" s="56"/>
      <c r="V7" s="56"/>
    </row>
    <row r="8" spans="1:22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1021558</v>
      </c>
      <c r="J8" s="14">
        <v>981808.11</v>
      </c>
      <c r="K8" s="10"/>
      <c r="M8" s="56"/>
      <c r="N8" s="56"/>
      <c r="O8" s="56"/>
      <c r="P8" s="56"/>
      <c r="Q8" s="56"/>
      <c r="R8" s="56"/>
      <c r="S8" s="56"/>
      <c r="T8" s="56"/>
      <c r="U8" s="56"/>
      <c r="V8" s="56"/>
    </row>
    <row r="9" spans="1:22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7">
        <f>J8/I8-1</f>
        <v>-3.891104567728898E-2</v>
      </c>
      <c r="J9" s="58"/>
      <c r="K9" s="10"/>
      <c r="M9" s="56"/>
      <c r="N9" s="56"/>
      <c r="O9" s="56"/>
      <c r="P9" s="56"/>
      <c r="Q9" s="56"/>
      <c r="R9" s="56"/>
      <c r="S9" s="56"/>
      <c r="T9" s="56"/>
      <c r="U9" s="56"/>
      <c r="V9" s="56"/>
    </row>
    <row r="10" spans="1:22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  <c r="M10" s="56"/>
      <c r="N10" s="56"/>
      <c r="O10" s="56"/>
      <c r="P10" s="56"/>
      <c r="Q10" s="56"/>
      <c r="R10" s="56"/>
      <c r="S10" s="56"/>
      <c r="T10" s="56"/>
      <c r="U10" s="56"/>
      <c r="V10" s="56"/>
    </row>
    <row r="11" spans="1:22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59646</v>
      </c>
      <c r="J11" s="14">
        <v>60677.96</v>
      </c>
      <c r="K11" s="10"/>
      <c r="M11" s="56"/>
      <c r="N11" s="56"/>
      <c r="O11" s="56"/>
      <c r="P11" s="56"/>
      <c r="Q11" s="56"/>
      <c r="R11" s="56"/>
      <c r="S11" s="56"/>
      <c r="T11" s="56"/>
      <c r="U11" s="56"/>
      <c r="V11" s="56"/>
    </row>
    <row r="12" spans="1:22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7">
        <f>J11/I11-1</f>
        <v>1.7301411662139943E-2</v>
      </c>
      <c r="J12" s="58"/>
      <c r="K12" s="10"/>
      <c r="M12" s="56"/>
      <c r="N12" s="56"/>
      <c r="O12" s="56"/>
      <c r="P12" s="56"/>
      <c r="Q12" s="56"/>
      <c r="R12" s="56"/>
      <c r="S12" s="56"/>
      <c r="T12" s="56"/>
      <c r="U12" s="56"/>
      <c r="V12" s="56"/>
    </row>
    <row r="13" spans="1:22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  <c r="M13" s="56"/>
      <c r="N13" s="56"/>
      <c r="O13" s="56"/>
      <c r="P13" s="56"/>
      <c r="Q13" s="56"/>
      <c r="R13" s="56"/>
      <c r="S13" s="56"/>
      <c r="T13" s="56"/>
      <c r="U13" s="56"/>
      <c r="V13" s="56"/>
    </row>
    <row r="14" spans="1:22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  <c r="M14" s="56"/>
      <c r="N14" s="56"/>
      <c r="O14" s="56"/>
      <c r="P14" s="56"/>
      <c r="Q14" s="56"/>
      <c r="R14" s="56"/>
      <c r="S14" s="56"/>
      <c r="T14" s="56"/>
      <c r="U14" s="56"/>
      <c r="V14" s="56"/>
    </row>
    <row r="15" spans="1:22" ht="18.600000000000001" x14ac:dyDescent="0.3">
      <c r="B15" s="7"/>
      <c r="C15" s="7"/>
      <c r="D15" s="7"/>
      <c r="E15" s="7"/>
      <c r="F15" s="7"/>
      <c r="H15" s="29" t="s">
        <v>18</v>
      </c>
      <c r="I15" s="30">
        <v>1314835</v>
      </c>
      <c r="J15" s="30">
        <v>1244681</v>
      </c>
      <c r="K15" s="31">
        <f>J15/I15-1</f>
        <v>-5.3355744256883941E-2</v>
      </c>
      <c r="M15" s="56"/>
      <c r="N15" s="56"/>
      <c r="O15" s="56"/>
      <c r="P15" s="56"/>
      <c r="Q15" s="56"/>
      <c r="R15" s="56"/>
      <c r="S15" s="56"/>
      <c r="T15" s="56"/>
      <c r="U15" s="56"/>
      <c r="V15" s="56"/>
    </row>
    <row r="16" spans="1:22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301788</v>
      </c>
      <c r="J16" s="34">
        <v>279336</v>
      </c>
      <c r="K16" s="31">
        <f>J16/I16-1</f>
        <v>-7.4396596286134598E-2</v>
      </c>
      <c r="M16" s="56"/>
      <c r="N16" s="56"/>
      <c r="O16" s="56"/>
      <c r="P16" s="56"/>
      <c r="Q16" s="56"/>
      <c r="R16" s="56"/>
      <c r="S16" s="56"/>
      <c r="T16" s="56"/>
      <c r="U16" s="56"/>
      <c r="V16" s="56"/>
    </row>
    <row r="17" spans="2:22" ht="18.600000000000001" x14ac:dyDescent="0.3">
      <c r="B17" s="13" t="s">
        <v>5</v>
      </c>
      <c r="C17" s="16">
        <f>F8*C$5</f>
        <v>1838709.6774193547</v>
      </c>
      <c r="D17" s="35">
        <v>1711340</v>
      </c>
      <c r="E17" s="16">
        <f t="shared" ref="E17:E23" si="0">D17-C17</f>
        <v>-127369.67741935467</v>
      </c>
      <c r="F17" s="21">
        <f>E17/C17</f>
        <v>-6.9271228070175356E-2</v>
      </c>
      <c r="H17" s="29" t="s">
        <v>25</v>
      </c>
      <c r="I17" s="30">
        <v>22753</v>
      </c>
      <c r="J17" s="30">
        <v>8892</v>
      </c>
      <c r="K17" s="31">
        <f>J17/I17-1</f>
        <v>-0.60919439194831448</v>
      </c>
      <c r="M17" s="56"/>
      <c r="N17" s="56"/>
      <c r="O17" s="56"/>
      <c r="P17" s="56"/>
      <c r="Q17" s="56"/>
      <c r="R17" s="56"/>
      <c r="S17" s="56"/>
      <c r="T17" s="56"/>
      <c r="U17" s="56"/>
      <c r="V17" s="56"/>
    </row>
    <row r="18" spans="2:22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335354</v>
      </c>
      <c r="J18" s="34">
        <v>186826</v>
      </c>
      <c r="K18" s="31">
        <f>J18/I18-1</f>
        <v>-0.44289914538070219</v>
      </c>
      <c r="M18" s="56"/>
      <c r="N18" s="56"/>
      <c r="O18" s="56"/>
      <c r="P18" s="56"/>
      <c r="Q18" s="56"/>
      <c r="R18" s="56"/>
      <c r="S18" s="56"/>
      <c r="T18" s="56"/>
      <c r="U18" s="56"/>
      <c r="V18" s="56"/>
    </row>
    <row r="19" spans="2:22" ht="18.600000000000001" x14ac:dyDescent="0.3">
      <c r="B19" s="13" t="s">
        <v>11</v>
      </c>
      <c r="C19" s="21">
        <f>F10</f>
        <v>7.0000000000000007E-2</v>
      </c>
      <c r="D19" s="40">
        <v>6.1600000000000002E-2</v>
      </c>
      <c r="E19" s="21">
        <f t="shared" si="0"/>
        <v>-8.4000000000000047E-3</v>
      </c>
      <c r="F19" s="21">
        <f>(D19-C19)/C19</f>
        <v>-0.12000000000000005</v>
      </c>
      <c r="H19" s="29" t="s">
        <v>27</v>
      </c>
      <c r="I19" s="41">
        <f>SUM(I15:I18)</f>
        <v>1974730</v>
      </c>
      <c r="J19" s="41">
        <f>SUM(J15:J18)</f>
        <v>1719735</v>
      </c>
      <c r="K19" s="31">
        <f>J19/I19-1</f>
        <v>-0.12912904548976312</v>
      </c>
      <c r="M19" s="56"/>
      <c r="N19" s="56"/>
      <c r="O19" s="56"/>
      <c r="P19" s="56"/>
      <c r="Q19" s="56"/>
      <c r="R19" s="56"/>
      <c r="S19" s="56"/>
      <c r="T19" s="56"/>
      <c r="U19" s="56"/>
      <c r="V19" s="56"/>
    </row>
    <row r="20" spans="2:22" ht="18.600000000000001" x14ac:dyDescent="0.3">
      <c r="B20" s="36" t="s">
        <v>13</v>
      </c>
      <c r="C20" s="42">
        <f>F11</f>
        <v>2565</v>
      </c>
      <c r="D20" s="43">
        <v>4065</v>
      </c>
      <c r="E20" s="42">
        <f t="shared" si="0"/>
        <v>1500</v>
      </c>
      <c r="F20" s="39">
        <f>(D20-C20)/C20</f>
        <v>0.58479532163742687</v>
      </c>
      <c r="K20" s="44"/>
      <c r="M20" s="56"/>
      <c r="N20" s="56"/>
      <c r="O20" s="56"/>
      <c r="P20" s="56"/>
      <c r="Q20" s="56"/>
      <c r="R20" s="56"/>
      <c r="S20" s="56"/>
      <c r="T20" s="56"/>
      <c r="U20" s="56"/>
      <c r="V20" s="56"/>
    </row>
    <row r="21" spans="2:22" ht="20.399999999999999" x14ac:dyDescent="0.3">
      <c r="B21" s="13" t="s">
        <v>14</v>
      </c>
      <c r="C21" s="25">
        <f>F12*C$5</f>
        <v>358.54838709677421</v>
      </c>
      <c r="D21" s="45">
        <v>256</v>
      </c>
      <c r="E21" s="25">
        <f t="shared" si="0"/>
        <v>-102.54838709677421</v>
      </c>
      <c r="F21" s="21">
        <f>E21/C21</f>
        <v>-0.28600989653621234</v>
      </c>
      <c r="H21" s="59" t="s">
        <v>28</v>
      </c>
      <c r="I21" s="59"/>
      <c r="J21" s="59"/>
      <c r="K21" s="59"/>
      <c r="M21" s="56"/>
      <c r="N21" s="56"/>
      <c r="O21" s="56"/>
      <c r="P21" s="56"/>
      <c r="Q21" s="56"/>
      <c r="R21" s="56"/>
      <c r="S21" s="56"/>
      <c r="T21" s="56"/>
      <c r="U21" s="56"/>
      <c r="V21" s="56"/>
    </row>
    <row r="22" spans="2:22" ht="18.600000000000001" x14ac:dyDescent="0.3">
      <c r="B22" s="36" t="s">
        <v>15</v>
      </c>
      <c r="C22" s="46">
        <f>F13*C$5</f>
        <v>717.09677419354841</v>
      </c>
      <c r="D22" s="47">
        <v>421</v>
      </c>
      <c r="E22" s="46">
        <f t="shared" si="0"/>
        <v>-296.09677419354841</v>
      </c>
      <c r="F22" s="39">
        <f>E22/C22</f>
        <v>-0.41291048133153396</v>
      </c>
      <c r="M22" s="56"/>
      <c r="N22" s="56"/>
      <c r="O22" s="56"/>
      <c r="P22" s="56"/>
      <c r="Q22" s="56"/>
      <c r="R22" s="56"/>
      <c r="S22" s="56"/>
      <c r="T22" s="56"/>
      <c r="U22" s="56"/>
      <c r="V22" s="56"/>
    </row>
    <row r="23" spans="2:22" ht="18.600000000000001" x14ac:dyDescent="0.3">
      <c r="B23" s="13" t="s">
        <v>16</v>
      </c>
      <c r="C23" s="25">
        <f>F14*C$5</f>
        <v>5250.1290322580644</v>
      </c>
      <c r="D23" s="45">
        <v>4159</v>
      </c>
      <c r="E23" s="25">
        <f t="shared" si="0"/>
        <v>-1091.1290322580644</v>
      </c>
      <c r="F23" s="21">
        <f>E23/C23</f>
        <v>-0.20782899345023775</v>
      </c>
      <c r="H23" s="48">
        <f ca="1">TODAY()</f>
        <v>46315</v>
      </c>
      <c r="I23" s="9">
        <v>2025</v>
      </c>
      <c r="J23" s="9">
        <v>2026</v>
      </c>
      <c r="M23" s="56"/>
      <c r="N23" s="56"/>
      <c r="O23" s="56"/>
      <c r="P23" s="56"/>
      <c r="Q23" s="56"/>
      <c r="R23" s="56"/>
      <c r="S23" s="56"/>
      <c r="T23" s="56"/>
      <c r="U23" s="56"/>
      <c r="V23" s="56"/>
    </row>
    <row r="24" spans="2:22" ht="18.600000000000001" x14ac:dyDescent="0.3">
      <c r="B24" s="7"/>
      <c r="C24" s="7"/>
      <c r="D24" s="7"/>
      <c r="E24" s="7"/>
      <c r="F24" s="7"/>
      <c r="H24" s="29" t="s">
        <v>29</v>
      </c>
      <c r="I24" s="49">
        <v>1657</v>
      </c>
      <c r="J24" s="49">
        <v>1476</v>
      </c>
      <c r="M24" s="56"/>
      <c r="N24" s="56"/>
      <c r="O24" s="56"/>
      <c r="P24" s="56"/>
      <c r="Q24" s="56"/>
      <c r="R24" s="56"/>
      <c r="S24" s="56"/>
      <c r="T24" s="56"/>
      <c r="U24" s="56"/>
      <c r="V24" s="56"/>
    </row>
    <row r="25" spans="2:22" ht="18.600000000000001" x14ac:dyDescent="0.3">
      <c r="B25" s="50" t="s">
        <v>30</v>
      </c>
      <c r="C25" s="51">
        <f>(D17/C$5)*C$4</f>
        <v>2792186.3157894737</v>
      </c>
      <c r="D25" s="7"/>
      <c r="E25" s="50" t="s">
        <v>31</v>
      </c>
      <c r="F25" s="31">
        <f>C25/C8</f>
        <v>0.93072877192982462</v>
      </c>
      <c r="H25" s="11" t="s">
        <v>32</v>
      </c>
      <c r="I25" s="12">
        <v>2605</v>
      </c>
      <c r="J25" s="52">
        <v>3321</v>
      </c>
      <c r="M25" s="56"/>
      <c r="N25" s="56"/>
      <c r="O25" s="56"/>
      <c r="P25" s="56"/>
      <c r="Q25" s="56"/>
      <c r="R25" s="56"/>
      <c r="S25" s="56"/>
      <c r="T25" s="56"/>
      <c r="U25" s="56"/>
      <c r="V25" s="56"/>
    </row>
    <row r="26" spans="2:22" ht="18.600000000000001" x14ac:dyDescent="0.3">
      <c r="H26" s="29" t="s">
        <v>33</v>
      </c>
      <c r="I26" s="49">
        <v>298</v>
      </c>
      <c r="J26" s="49">
        <v>412</v>
      </c>
      <c r="M26" s="56"/>
      <c r="N26" s="56"/>
      <c r="O26" s="56"/>
      <c r="P26" s="56"/>
      <c r="Q26" s="56"/>
      <c r="R26" s="56"/>
      <c r="S26" s="56"/>
      <c r="T26" s="56"/>
      <c r="U26" s="56"/>
      <c r="V26" s="56"/>
    </row>
    <row r="27" spans="2:22" ht="18.600000000000001" x14ac:dyDescent="0.3">
      <c r="H27" s="11" t="s">
        <v>27</v>
      </c>
      <c r="I27" s="11">
        <f>SUM(I24:I26)</f>
        <v>4560</v>
      </c>
      <c r="J27" s="11">
        <f>SUM(J24:J26)</f>
        <v>5209</v>
      </c>
      <c r="M27" s="56"/>
      <c r="N27" s="56"/>
      <c r="O27" s="56"/>
      <c r="P27" s="56"/>
      <c r="Q27" s="56"/>
      <c r="R27" s="56"/>
      <c r="S27" s="56"/>
      <c r="T27" s="56"/>
      <c r="U27" s="56"/>
      <c r="V27" s="56"/>
    </row>
    <row r="28" spans="2:22" x14ac:dyDescent="0.3">
      <c r="M28" s="56"/>
      <c r="N28" s="56"/>
      <c r="O28" s="56"/>
      <c r="P28" s="56"/>
      <c r="Q28" s="56"/>
      <c r="R28" s="56"/>
      <c r="S28" s="56"/>
      <c r="T28" s="56"/>
      <c r="U28" s="56"/>
      <c r="V28" s="56"/>
    </row>
    <row r="29" spans="2:22" x14ac:dyDescent="0.3">
      <c r="M29" s="56"/>
      <c r="N29" s="56"/>
      <c r="O29" s="56"/>
      <c r="P29" s="56"/>
      <c r="Q29" s="56"/>
      <c r="R29" s="56"/>
      <c r="S29" s="56"/>
      <c r="T29" s="56"/>
      <c r="U29" s="56"/>
      <c r="V29" s="56"/>
    </row>
    <row r="30" spans="2:22" x14ac:dyDescent="0.3">
      <c r="M30" s="56"/>
      <c r="N30" s="56"/>
      <c r="O30" s="56"/>
      <c r="P30" s="56"/>
      <c r="Q30" s="56"/>
      <c r="R30" s="56"/>
      <c r="S30" s="56"/>
      <c r="T30" s="56"/>
      <c r="U30" s="56"/>
      <c r="V30" s="56"/>
    </row>
    <row r="31" spans="2:22" x14ac:dyDescent="0.3">
      <c r="M31" s="56"/>
      <c r="N31" s="56"/>
      <c r="O31" s="56"/>
      <c r="P31" s="56"/>
      <c r="Q31" s="56"/>
      <c r="R31" s="56"/>
      <c r="S31" s="56"/>
      <c r="T31" s="56"/>
      <c r="U31" s="56"/>
      <c r="V31" s="56"/>
    </row>
    <row r="32" spans="2:22" x14ac:dyDescent="0.3">
      <c r="M32" s="56"/>
      <c r="N32" s="56"/>
      <c r="O32" s="56"/>
      <c r="P32" s="56"/>
      <c r="Q32" s="56"/>
      <c r="R32" s="56"/>
      <c r="S32" s="56"/>
      <c r="T32" s="56"/>
      <c r="U32" s="56"/>
      <c r="V32" s="56"/>
    </row>
    <row r="33" spans="2:6" x14ac:dyDescent="0.3">
      <c r="B33" s="53"/>
      <c r="C33" s="54"/>
      <c r="E33" s="53"/>
      <c r="F33" s="55"/>
    </row>
  </sheetData>
  <mergeCells count="9">
    <mergeCell ref="M2:V32"/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2026-10-20T06:56:40Z</dcterms:modified>
</cp:coreProperties>
</file>