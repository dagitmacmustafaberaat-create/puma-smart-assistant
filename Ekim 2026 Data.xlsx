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gaza.mudur\Desktop\"/>
    </mc:Choice>
  </mc:AlternateContent>
  <xr:revisionPtr revIDLastSave="0" documentId="13_ncr:1_{22DBF2E4-6440-41F1-A05C-ED12F52300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I27" i="1"/>
  <c r="C25" i="1"/>
  <c r="F25" i="1" s="1"/>
  <c r="H23" i="1"/>
  <c r="J19" i="1"/>
  <c r="I19" i="1"/>
  <c r="C19" i="1"/>
  <c r="K18" i="1"/>
  <c r="K17" i="1"/>
  <c r="C17" i="1"/>
  <c r="E17" i="1" s="1"/>
  <c r="F17" i="1" s="1"/>
  <c r="K16" i="1"/>
  <c r="K15" i="1"/>
  <c r="F14" i="1"/>
  <c r="C23" i="1" s="1"/>
  <c r="E23" i="1" s="1"/>
  <c r="F23" i="1" s="1"/>
  <c r="F13" i="1"/>
  <c r="C22" i="1" s="1"/>
  <c r="E22" i="1" s="1"/>
  <c r="F22" i="1" s="1"/>
  <c r="I12" i="1"/>
  <c r="F12" i="1"/>
  <c r="C21" i="1" s="1"/>
  <c r="E21" i="1" s="1"/>
  <c r="F11" i="1"/>
  <c r="C20" i="1" s="1"/>
  <c r="F10" i="1"/>
  <c r="I9" i="1"/>
  <c r="F9" i="1"/>
  <c r="C18" i="1" s="1"/>
  <c r="F8" i="1"/>
  <c r="I6" i="1"/>
  <c r="F19" i="1" l="1"/>
  <c r="E19" i="1"/>
  <c r="F21" i="1"/>
  <c r="K19" i="1"/>
  <c r="F18" i="1"/>
  <c r="E18" i="1"/>
  <c r="E20" i="1"/>
  <c r="F20" i="1"/>
</calcChain>
</file>

<file path=xl/sharedStrings.xml><?xml version="1.0" encoding="utf-8"?>
<sst xmlns="http://schemas.openxmlformats.org/spreadsheetml/2006/main" count="55" uniqueCount="34">
  <si>
    <t>MAĞAZA PERFORMANS VE AYLIK DEĞERLENDİRME RAPORU</t>
  </si>
  <si>
    <t xml:space="preserve">KATEGORİ &amp; CİNSİYET 2025 / 2026 </t>
  </si>
  <si>
    <t>Ay Gün Sayısı</t>
  </si>
  <si>
    <t>FOOTWEAR</t>
  </si>
  <si>
    <t>Geçen Gün Sayısı</t>
  </si>
  <si>
    <t>Ciro</t>
  </si>
  <si>
    <t>Büyüme</t>
  </si>
  <si>
    <t>Ekim.26 Hedefler</t>
  </si>
  <si>
    <t>Ekim.26 Günlük Yapılması Gerekenler</t>
  </si>
  <si>
    <t>APPAREL</t>
  </si>
  <si>
    <t>Upt</t>
  </si>
  <si>
    <t>Cr</t>
  </si>
  <si>
    <t>ACCESSORIES</t>
  </si>
  <si>
    <t>Asp</t>
  </si>
  <si>
    <t>Fatura</t>
  </si>
  <si>
    <t>Ürün Adedi</t>
  </si>
  <si>
    <t>Trafik</t>
  </si>
  <si>
    <t>CİNSİYET</t>
  </si>
  <si>
    <t>Male</t>
  </si>
  <si>
    <t>Kpı</t>
  </si>
  <si>
    <t>Gerçekleşmesi Gereken</t>
  </si>
  <si>
    <t>Gerçekleşen</t>
  </si>
  <si>
    <t>Fark</t>
  </si>
  <si>
    <t xml:space="preserve">Sapma </t>
  </si>
  <si>
    <t>Female</t>
  </si>
  <si>
    <t>Kids</t>
  </si>
  <si>
    <t>Unısex</t>
  </si>
  <si>
    <t>Total</t>
  </si>
  <si>
    <t>STOK 2025 / 2026</t>
  </si>
  <si>
    <t>Footwear</t>
  </si>
  <si>
    <t>Tahmini Kapanış Cirosu</t>
  </si>
  <si>
    <t>Hgo</t>
  </si>
  <si>
    <t>Apparel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</si>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</sst>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\ \T\L"/>
    <numFmt numFmtId="165" formatCode="#,###\T\L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  <charset val="162"/>
    </font>
    <font>
      <b/>
      <sz val="16"/>
      <color rgb="FF1F4E78"/>
      <name val="Tahoma"/>
      <family val="2"/>
      <charset val="162"/>
    </font>
    <font>
      <b/>
      <sz val="15"/>
      <color theme="8" tint="-0.249977111117893"/>
      <name val="Tahoma"/>
      <family val="2"/>
      <charset val="162"/>
    </font>
    <font>
      <b/>
      <sz val="15"/>
      <color theme="1"/>
      <name val="Tahoma"/>
      <family val="2"/>
      <charset val="162"/>
    </font>
    <font>
      <b/>
      <sz val="15"/>
      <color rgb="FFFFFFFF"/>
      <name val="Tahoma"/>
      <family val="2"/>
      <charset val="162"/>
    </font>
    <font>
      <sz val="15"/>
      <color theme="1"/>
      <name val="Calibri"/>
      <family val="2"/>
      <scheme val="minor"/>
    </font>
    <font>
      <b/>
      <sz val="15"/>
      <color theme="0"/>
      <name val="Tahoma"/>
      <family val="2"/>
      <charset val="162"/>
    </font>
    <font>
      <b/>
      <sz val="15"/>
      <color theme="8" tint="-0.499984740745262"/>
      <name val="Tahoma"/>
      <family val="2"/>
      <charset val="162"/>
    </font>
    <font>
      <b/>
      <sz val="22"/>
      <color theme="0"/>
      <name val="Calibri"/>
      <family val="2"/>
      <charset val="162"/>
      <scheme val="minor"/>
    </font>
    <font>
      <b/>
      <sz val="12"/>
      <color rgb="FFFFFFFF"/>
      <name val="Tahoma"/>
      <family val="2"/>
      <charset val="162"/>
    </font>
    <font>
      <sz val="12"/>
      <name val="Tahoma"/>
      <family val="2"/>
      <charset val="162"/>
    </font>
    <font>
      <b/>
      <sz val="12"/>
      <name val="Tahoma"/>
      <family val="2"/>
      <charset val="162"/>
    </font>
    <font>
      <b/>
      <sz val="12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1F4E78"/>
      </patternFill>
    </fill>
    <fill>
      <patternFill patternType="solid">
        <fgColor theme="4" tint="-0.499984740745262"/>
        <bgColor rgb="FFF9FBFD"/>
      </patternFill>
    </fill>
    <fill>
      <patternFill patternType="solid">
        <fgColor rgb="FF00B050"/>
        <bgColor rgb="FFF9FBFD"/>
      </patternFill>
    </fill>
  </fills>
  <borders count="6">
    <border>
      <left/>
      <right/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/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 applyProtection="1">
      <alignment horizontal="center" vertical="center"/>
      <protection locked="0"/>
    </xf>
    <xf numFmtId="0" fontId="8" fillId="2" borderId="2" xfId="0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 applyProtection="1">
      <alignment horizontal="center" vertical="center"/>
      <protection locked="0"/>
    </xf>
    <xf numFmtId="0" fontId="7" fillId="5" borderId="2" xfId="0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2" fontId="7" fillId="4" borderId="2" xfId="0" applyNumberFormat="1" applyFont="1" applyFill="1" applyBorder="1" applyAlignment="1" applyProtection="1">
      <alignment horizontal="center" vertical="center"/>
      <protection locked="0"/>
    </xf>
    <xf numFmtId="2" fontId="7" fillId="4" borderId="2" xfId="0" applyNumberFormat="1" applyFont="1" applyFill="1" applyBorder="1" applyAlignment="1">
      <alignment horizontal="center" vertical="center"/>
    </xf>
    <xf numFmtId="10" fontId="8" fillId="2" borderId="2" xfId="0" applyNumberFormat="1" applyFont="1" applyFill="1" applyBorder="1" applyAlignment="1" applyProtection="1">
      <alignment horizontal="center" vertical="center"/>
      <protection locked="0"/>
    </xf>
    <xf numFmtId="10" fontId="8" fillId="2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 applyProtection="1">
      <alignment horizontal="center" vertical="center"/>
      <protection locked="0"/>
    </xf>
    <xf numFmtId="164" fontId="7" fillId="4" borderId="2" xfId="0" applyNumberFormat="1" applyFont="1" applyFill="1" applyBorder="1" applyAlignment="1">
      <alignment horizontal="center" vertical="center"/>
    </xf>
    <xf numFmtId="3" fontId="8" fillId="2" borderId="2" xfId="0" applyNumberFormat="1" applyFont="1" applyFill="1" applyBorder="1" applyAlignment="1" applyProtection="1">
      <alignment horizontal="center" vertical="center"/>
      <protection locked="0"/>
    </xf>
    <xf numFmtId="3" fontId="8" fillId="2" borderId="2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 applyProtection="1">
      <alignment horizontal="center" vertical="center"/>
      <protection locked="0"/>
    </xf>
    <xf numFmtId="3" fontId="7" fillId="4" borderId="2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 applyProtection="1">
      <alignment horizontal="center" vertical="center"/>
      <protection locked="0"/>
    </xf>
    <xf numFmtId="10" fontId="7" fillId="5" borderId="0" xfId="0" applyNumberFormat="1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 applyProtection="1">
      <alignment horizontal="center" vertical="center"/>
      <protection locked="0"/>
    </xf>
    <xf numFmtId="164" fontId="7" fillId="4" borderId="0" xfId="0" applyNumberFormat="1" applyFont="1" applyFill="1" applyAlignment="1" applyProtection="1">
      <alignment horizontal="center" vertical="center"/>
      <protection locked="0"/>
    </xf>
    <xf numFmtId="164" fontId="7" fillId="5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2" xfId="0" applyFont="1" applyFill="1" applyBorder="1" applyAlignment="1">
      <alignment horizontal="center" vertical="center"/>
    </xf>
    <xf numFmtId="2" fontId="7" fillId="7" borderId="2" xfId="0" applyNumberFormat="1" applyFont="1" applyFill="1" applyBorder="1" applyAlignment="1">
      <alignment horizontal="center" vertical="center"/>
    </xf>
    <xf numFmtId="2" fontId="7" fillId="8" borderId="2" xfId="0" applyNumberFormat="1" applyFont="1" applyFill="1" applyBorder="1" applyAlignment="1" applyProtection="1">
      <alignment horizontal="center" vertical="center"/>
      <protection locked="0"/>
    </xf>
    <xf numFmtId="10" fontId="7" fillId="7" borderId="2" xfId="0" applyNumberFormat="1" applyFont="1" applyFill="1" applyBorder="1" applyAlignment="1">
      <alignment horizontal="center" vertical="center"/>
    </xf>
    <xf numFmtId="10" fontId="7" fillId="5" borderId="2" xfId="0" applyNumberFormat="1" applyFont="1" applyFill="1" applyBorder="1" applyAlignment="1" applyProtection="1">
      <alignment horizontal="center" vertical="center"/>
      <protection locked="0"/>
    </xf>
    <xf numFmtId="164" fontId="8" fillId="2" borderId="0" xfId="0" applyNumberFormat="1" applyFont="1" applyFill="1" applyAlignment="1">
      <alignment horizontal="center" vertical="center"/>
    </xf>
    <xf numFmtId="164" fontId="7" fillId="7" borderId="2" xfId="0" applyNumberFormat="1" applyFont="1" applyFill="1" applyBorder="1" applyAlignment="1">
      <alignment horizontal="center" vertical="center"/>
    </xf>
    <xf numFmtId="164" fontId="7" fillId="8" borderId="2" xfId="0" applyNumberFormat="1" applyFont="1" applyFill="1" applyBorder="1" applyAlignment="1" applyProtection="1">
      <alignment horizontal="center" vertical="center"/>
      <protection locked="0"/>
    </xf>
    <xf numFmtId="10" fontId="0" fillId="0" borderId="0" xfId="0" applyNumberFormat="1"/>
    <xf numFmtId="3" fontId="7" fillId="5" borderId="2" xfId="0" applyNumberFormat="1" applyFont="1" applyFill="1" applyBorder="1" applyAlignment="1" applyProtection="1">
      <alignment horizontal="center" vertical="center"/>
      <protection locked="0"/>
    </xf>
    <xf numFmtId="3" fontId="7" fillId="7" borderId="2" xfId="0" applyNumberFormat="1" applyFont="1" applyFill="1" applyBorder="1" applyAlignment="1">
      <alignment horizontal="center" vertical="center"/>
    </xf>
    <xf numFmtId="3" fontId="7" fillId="8" borderId="2" xfId="0" applyNumberFormat="1" applyFont="1" applyFill="1" applyBorder="1" applyAlignment="1" applyProtection="1">
      <alignment horizontal="center" vertical="center"/>
      <protection locked="0"/>
    </xf>
    <xf numFmtId="14" fontId="10" fillId="3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horizontal="center" vertical="center"/>
      <protection locked="0"/>
    </xf>
    <xf numFmtId="0" fontId="7" fillId="5" borderId="0" xfId="0" applyFont="1" applyFill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4" fontId="7" fillId="4" borderId="0" xfId="0" applyNumberFormat="1" applyFont="1" applyFill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  <xf numFmtId="9" fontId="9" fillId="5" borderId="3" xfId="0" applyNumberFormat="1" applyFont="1" applyFill="1" applyBorder="1" applyAlignment="1" applyProtection="1">
      <alignment horizontal="center"/>
      <protection locked="0"/>
    </xf>
    <xf numFmtId="9" fontId="9" fillId="5" borderId="4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left" vertical="top"/>
    </xf>
    <xf numFmtId="0" fontId="5" fillId="3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33"/>
  <sheetViews>
    <sheetView tabSelected="1" zoomScale="50" zoomScaleNormal="50" workbookViewId="0">
      <selection activeCell="I19" sqref="I19"/>
    </sheetView>
  </sheetViews>
  <sheetFormatPr defaultRowHeight="15" x14ac:dyDescent="0.3"/>
  <cols>
    <col min="1" max="1" width="3" style="4" customWidth="1"/>
    <col min="2" max="2" width="31.6640625" style="4" customWidth="1"/>
    <col min="3" max="3" width="33.44140625" style="4" customWidth="1"/>
    <col min="4" max="4" width="25.33203125" style="4" customWidth="1"/>
    <col min="5" max="5" width="23.5546875" style="4" customWidth="1"/>
    <col min="6" max="6" width="20.5546875" style="4" customWidth="1"/>
    <col min="7" max="7" width="3.33203125" customWidth="1"/>
    <col min="8" max="10" width="26" customWidth="1"/>
    <col min="11" max="11" width="22.33203125" customWidth="1"/>
  </cols>
  <sheetData>
    <row r="2" spans="1:22" s="3" customFormat="1" ht="20.399999999999999" x14ac:dyDescent="0.3">
      <c r="A2" s="1"/>
      <c r="B2" s="59" t="s">
        <v>0</v>
      </c>
      <c r="C2" s="59"/>
      <c r="D2" s="59"/>
      <c r="E2" s="59"/>
      <c r="F2" s="1"/>
      <c r="H2" s="59" t="s">
        <v>1</v>
      </c>
      <c r="I2" s="59"/>
      <c r="J2" s="59"/>
      <c r="K2" s="59"/>
      <c r="M2" s="56"/>
      <c r="N2" s="56"/>
      <c r="O2" s="56"/>
      <c r="P2" s="56"/>
      <c r="Q2" s="56"/>
      <c r="R2" s="56"/>
      <c r="S2" s="56"/>
      <c r="T2" s="56"/>
      <c r="U2" s="56"/>
      <c r="V2" s="56"/>
    </row>
    <row r="3" spans="1:22" ht="20.399999999999999" x14ac:dyDescent="0.3">
      <c r="B3" s="2"/>
      <c r="C3" s="2"/>
      <c r="D3" s="2"/>
      <c r="E3" s="2"/>
      <c r="M3" s="56"/>
      <c r="N3" s="56"/>
      <c r="O3" s="56"/>
      <c r="P3" s="56"/>
      <c r="Q3" s="56"/>
      <c r="R3" s="56"/>
      <c r="S3" s="56"/>
      <c r="T3" s="56"/>
      <c r="U3" s="56"/>
      <c r="V3" s="56"/>
    </row>
    <row r="4" spans="1:22" ht="19.8" x14ac:dyDescent="0.4">
      <c r="B4" s="5" t="s">
        <v>2</v>
      </c>
      <c r="C4" s="6">
        <v>31</v>
      </c>
      <c r="D4" s="7"/>
      <c r="E4" s="7"/>
      <c r="F4" s="7"/>
      <c r="H4" s="8" t="s">
        <v>3</v>
      </c>
      <c r="I4" s="9">
        <v>2025</v>
      </c>
      <c r="J4" s="9">
        <v>2026</v>
      </c>
      <c r="K4" s="10"/>
      <c r="M4" s="56"/>
      <c r="N4" s="56"/>
      <c r="O4" s="56"/>
      <c r="P4" s="56"/>
      <c r="Q4" s="56"/>
      <c r="R4" s="56"/>
      <c r="S4" s="56"/>
      <c r="T4" s="56"/>
      <c r="U4" s="56"/>
      <c r="V4" s="56"/>
    </row>
    <row r="5" spans="1:22" ht="19.8" x14ac:dyDescent="0.4">
      <c r="B5" s="11" t="s">
        <v>4</v>
      </c>
      <c r="C5" s="12">
        <v>20</v>
      </c>
      <c r="D5" s="7"/>
      <c r="E5" s="7"/>
      <c r="F5" s="7"/>
      <c r="H5" s="13" t="s">
        <v>5</v>
      </c>
      <c r="I5" s="14">
        <v>895373.1</v>
      </c>
      <c r="J5" s="14">
        <v>683401</v>
      </c>
      <c r="K5" s="10"/>
      <c r="M5" s="56"/>
      <c r="N5" s="56"/>
      <c r="O5" s="56"/>
      <c r="P5" s="56"/>
      <c r="Q5" s="56"/>
      <c r="R5" s="56"/>
      <c r="S5" s="56"/>
      <c r="T5" s="56"/>
      <c r="U5" s="56"/>
      <c r="V5" s="56"/>
    </row>
    <row r="6" spans="1:22" ht="28.8" x14ac:dyDescent="0.55000000000000004">
      <c r="B6" s="7"/>
      <c r="C6" s="7"/>
      <c r="D6" s="7"/>
      <c r="E6" s="7"/>
      <c r="F6" s="7"/>
      <c r="H6" s="15" t="s">
        <v>6</v>
      </c>
      <c r="I6" s="57">
        <f>J5/I5-1</f>
        <v>-0.23674164434915457</v>
      </c>
      <c r="J6" s="58"/>
      <c r="K6" s="10"/>
      <c r="M6" s="56"/>
      <c r="N6" s="56"/>
      <c r="O6" s="56"/>
      <c r="P6" s="56"/>
      <c r="Q6" s="56"/>
      <c r="R6" s="56"/>
      <c r="S6" s="56"/>
      <c r="T6" s="56"/>
      <c r="U6" s="56"/>
      <c r="V6" s="56"/>
    </row>
    <row r="7" spans="1:22" ht="19.8" x14ac:dyDescent="0.4">
      <c r="B7" s="60" t="s">
        <v>7</v>
      </c>
      <c r="C7" s="61"/>
      <c r="D7" s="7"/>
      <c r="E7" s="60" t="s">
        <v>8</v>
      </c>
      <c r="F7" s="61"/>
      <c r="H7" s="8" t="s">
        <v>9</v>
      </c>
      <c r="I7" s="9">
        <v>2025</v>
      </c>
      <c r="J7" s="9">
        <v>2026</v>
      </c>
      <c r="K7" s="10"/>
      <c r="M7" s="56"/>
      <c r="N7" s="56"/>
      <c r="O7" s="56"/>
      <c r="P7" s="56"/>
      <c r="Q7" s="56"/>
      <c r="R7" s="56"/>
      <c r="S7" s="56"/>
      <c r="T7" s="56"/>
      <c r="U7" s="56"/>
      <c r="V7" s="56"/>
    </row>
    <row r="8" spans="1:22" ht="19.8" x14ac:dyDescent="0.4">
      <c r="B8" s="13" t="s">
        <v>5</v>
      </c>
      <c r="C8" s="14">
        <v>3000000</v>
      </c>
      <c r="D8" s="7"/>
      <c r="E8" s="13" t="s">
        <v>5</v>
      </c>
      <c r="F8" s="16">
        <f>C8/C$4</f>
        <v>96774.193548387091</v>
      </c>
      <c r="H8" s="13" t="s">
        <v>5</v>
      </c>
      <c r="I8" s="14">
        <v>1041762.31</v>
      </c>
      <c r="J8" s="14">
        <v>1016116</v>
      </c>
      <c r="K8" s="10"/>
      <c r="M8" s="56"/>
      <c r="N8" s="56"/>
      <c r="O8" s="56"/>
      <c r="P8" s="56"/>
      <c r="Q8" s="56"/>
      <c r="R8" s="56"/>
      <c r="S8" s="56"/>
      <c r="T8" s="56"/>
      <c r="U8" s="56"/>
      <c r="V8" s="56"/>
    </row>
    <row r="9" spans="1:22" ht="28.8" x14ac:dyDescent="0.55000000000000004">
      <c r="B9" s="17" t="s">
        <v>10</v>
      </c>
      <c r="C9" s="18">
        <v>1.8</v>
      </c>
      <c r="D9" s="7"/>
      <c r="E9" s="17" t="s">
        <v>10</v>
      </c>
      <c r="F9" s="19">
        <f>C9</f>
        <v>1.8</v>
      </c>
      <c r="H9" s="15" t="s">
        <v>6</v>
      </c>
      <c r="I9" s="57">
        <f>J8/I8-1</f>
        <v>-2.4618197216215387E-2</v>
      </c>
      <c r="J9" s="58"/>
      <c r="K9" s="10"/>
      <c r="M9" s="56"/>
      <c r="N9" s="56"/>
      <c r="O9" s="56"/>
      <c r="P9" s="56"/>
      <c r="Q9" s="56"/>
      <c r="R9" s="56"/>
      <c r="S9" s="56"/>
      <c r="T9" s="56"/>
      <c r="U9" s="56"/>
      <c r="V9" s="56"/>
    </row>
    <row r="10" spans="1:22" ht="19.8" x14ac:dyDescent="0.4">
      <c r="B10" s="13" t="s">
        <v>11</v>
      </c>
      <c r="C10" s="20">
        <v>7.0000000000000007E-2</v>
      </c>
      <c r="D10" s="7"/>
      <c r="E10" s="13" t="s">
        <v>11</v>
      </c>
      <c r="F10" s="21">
        <f>C10</f>
        <v>7.0000000000000007E-2</v>
      </c>
      <c r="H10" s="8" t="s">
        <v>12</v>
      </c>
      <c r="I10" s="9">
        <v>2025</v>
      </c>
      <c r="J10" s="9">
        <v>2026</v>
      </c>
      <c r="K10" s="10"/>
      <c r="M10" s="56"/>
      <c r="N10" s="56"/>
      <c r="O10" s="56"/>
      <c r="P10" s="56"/>
      <c r="Q10" s="56"/>
      <c r="R10" s="56"/>
      <c r="S10" s="56"/>
      <c r="T10" s="56"/>
      <c r="U10" s="56"/>
      <c r="V10" s="56"/>
    </row>
    <row r="11" spans="1:22" ht="19.8" x14ac:dyDescent="0.4">
      <c r="B11" s="17" t="s">
        <v>13</v>
      </c>
      <c r="C11" s="22">
        <v>2565</v>
      </c>
      <c r="D11" s="7"/>
      <c r="E11" s="17" t="s">
        <v>13</v>
      </c>
      <c r="F11" s="23">
        <f>C11</f>
        <v>2565</v>
      </c>
      <c r="H11" s="13" t="s">
        <v>5</v>
      </c>
      <c r="I11" s="14">
        <v>59466.12</v>
      </c>
      <c r="J11" s="14">
        <v>61178</v>
      </c>
      <c r="K11" s="10"/>
      <c r="M11" s="56"/>
      <c r="N11" s="56"/>
      <c r="O11" s="56"/>
      <c r="P11" s="56"/>
      <c r="Q11" s="56"/>
      <c r="R11" s="56"/>
      <c r="S11" s="56"/>
      <c r="T11" s="56"/>
      <c r="U11" s="56"/>
      <c r="V11" s="56"/>
    </row>
    <row r="12" spans="1:22" ht="28.8" x14ac:dyDescent="0.55000000000000004">
      <c r="B12" s="13" t="s">
        <v>14</v>
      </c>
      <c r="C12" s="24">
        <v>585</v>
      </c>
      <c r="D12" s="7"/>
      <c r="E12" s="13" t="s">
        <v>14</v>
      </c>
      <c r="F12" s="25">
        <f>C12/C$4</f>
        <v>18.870967741935484</v>
      </c>
      <c r="H12" s="15" t="s">
        <v>6</v>
      </c>
      <c r="I12" s="57">
        <f>J11/I11-1</f>
        <v>2.8787484369250826E-2</v>
      </c>
      <c r="J12" s="58"/>
      <c r="K12" s="10"/>
      <c r="M12" s="56"/>
      <c r="N12" s="56"/>
      <c r="O12" s="56"/>
      <c r="P12" s="56"/>
      <c r="Q12" s="56"/>
      <c r="R12" s="56"/>
      <c r="S12" s="56"/>
      <c r="T12" s="56"/>
      <c r="U12" s="56"/>
      <c r="V12" s="56"/>
    </row>
    <row r="13" spans="1:22" ht="19.8" x14ac:dyDescent="0.4">
      <c r="B13" s="17" t="s">
        <v>15</v>
      </c>
      <c r="C13" s="26">
        <v>1170</v>
      </c>
      <c r="D13" s="7"/>
      <c r="E13" s="17" t="s">
        <v>15</v>
      </c>
      <c r="F13" s="27">
        <f>C13/C$4</f>
        <v>37.741935483870968</v>
      </c>
      <c r="H13" s="10"/>
      <c r="I13" s="10"/>
      <c r="J13" s="10"/>
      <c r="K13" s="10"/>
      <c r="M13" s="56"/>
      <c r="N13" s="56"/>
      <c r="O13" s="56"/>
      <c r="P13" s="56"/>
      <c r="Q13" s="56"/>
      <c r="R13" s="56"/>
      <c r="S13" s="56"/>
      <c r="T13" s="56"/>
      <c r="U13" s="56"/>
      <c r="V13" s="56"/>
    </row>
    <row r="14" spans="1:22" ht="18.600000000000001" x14ac:dyDescent="0.3">
      <c r="B14" s="13" t="s">
        <v>16</v>
      </c>
      <c r="C14" s="24">
        <v>8566</v>
      </c>
      <c r="D14" s="7"/>
      <c r="E14" s="13" t="s">
        <v>16</v>
      </c>
      <c r="F14" s="25">
        <f>C14/C$4</f>
        <v>276.32258064516128</v>
      </c>
      <c r="H14" s="8" t="s">
        <v>17</v>
      </c>
      <c r="I14" s="9">
        <v>2025</v>
      </c>
      <c r="J14" s="9">
        <v>2026</v>
      </c>
      <c r="K14" s="28" t="s">
        <v>6</v>
      </c>
      <c r="M14" s="56"/>
      <c r="N14" s="56"/>
      <c r="O14" s="56"/>
      <c r="P14" s="56"/>
      <c r="Q14" s="56"/>
      <c r="R14" s="56"/>
      <c r="S14" s="56"/>
      <c r="T14" s="56"/>
      <c r="U14" s="56"/>
      <c r="V14" s="56"/>
    </row>
    <row r="15" spans="1:22" ht="18.600000000000001" x14ac:dyDescent="0.3">
      <c r="B15" s="7"/>
      <c r="C15" s="7"/>
      <c r="D15" s="7"/>
      <c r="E15" s="7"/>
      <c r="F15" s="7"/>
      <c r="H15" s="29" t="s">
        <v>18</v>
      </c>
      <c r="I15" s="30">
        <v>1337584.22</v>
      </c>
      <c r="J15" s="30">
        <v>1282765.26</v>
      </c>
      <c r="K15" s="31">
        <f>J15/I15-1</f>
        <v>-4.0983557655905889E-2</v>
      </c>
      <c r="M15" s="56"/>
      <c r="N15" s="56"/>
      <c r="O15" s="56"/>
      <c r="P15" s="56"/>
      <c r="Q15" s="56"/>
      <c r="R15" s="56"/>
      <c r="S15" s="56"/>
      <c r="T15" s="56"/>
      <c r="U15" s="56"/>
      <c r="V15" s="56"/>
    </row>
    <row r="16" spans="1:22" ht="19.2" thickBot="1" x14ac:dyDescent="0.35">
      <c r="B16" s="32" t="s">
        <v>19</v>
      </c>
      <c r="C16" s="32" t="s">
        <v>20</v>
      </c>
      <c r="D16" s="33" t="s">
        <v>21</v>
      </c>
      <c r="E16" s="32" t="s">
        <v>22</v>
      </c>
      <c r="F16" s="32" t="s">
        <v>23</v>
      </c>
      <c r="H16" s="11" t="s">
        <v>24</v>
      </c>
      <c r="I16" s="34">
        <v>311149.17</v>
      </c>
      <c r="J16" s="34">
        <v>290606.49</v>
      </c>
      <c r="K16" s="31">
        <f>J16/I16-1</f>
        <v>-6.6021966248536068E-2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</row>
    <row r="17" spans="2:22" ht="18.600000000000001" x14ac:dyDescent="0.3">
      <c r="B17" s="13" t="s">
        <v>5</v>
      </c>
      <c r="C17" s="16">
        <f>F8*C$5</f>
        <v>1935483.8709677418</v>
      </c>
      <c r="D17" s="35">
        <v>1760695</v>
      </c>
      <c r="E17" s="16">
        <f t="shared" ref="E17:E23" si="0">D17-C17</f>
        <v>-174788.87096774182</v>
      </c>
      <c r="F17" s="21">
        <f>E17/C17</f>
        <v>-9.0307583333333274E-2</v>
      </c>
      <c r="H17" s="29" t="s">
        <v>25</v>
      </c>
      <c r="I17" s="30"/>
      <c r="J17" s="30"/>
      <c r="K17" s="31" t="e">
        <f>J17/I17-1</f>
        <v>#DIV/0!</v>
      </c>
      <c r="M17" s="56"/>
      <c r="N17" s="56"/>
      <c r="O17" s="56"/>
      <c r="P17" s="56"/>
      <c r="Q17" s="56"/>
      <c r="R17" s="56"/>
      <c r="S17" s="56"/>
      <c r="T17" s="56"/>
      <c r="U17" s="56"/>
      <c r="V17" s="56"/>
    </row>
    <row r="18" spans="2:22" ht="18.600000000000001" x14ac:dyDescent="0.3">
      <c r="B18" s="36" t="s">
        <v>10</v>
      </c>
      <c r="C18" s="37">
        <f>F9</f>
        <v>1.8</v>
      </c>
      <c r="D18" s="38">
        <v>1.64</v>
      </c>
      <c r="E18" s="37">
        <f t="shared" si="0"/>
        <v>-0.16000000000000014</v>
      </c>
      <c r="F18" s="39">
        <f>(D18-C18)/C18</f>
        <v>-8.8888888888888962E-2</v>
      </c>
      <c r="H18" s="11" t="s">
        <v>26</v>
      </c>
      <c r="I18" s="34">
        <v>347868.14</v>
      </c>
      <c r="J18" s="34">
        <v>186825.92</v>
      </c>
      <c r="K18" s="31">
        <f>J18/I18-1</f>
        <v>-0.46294041184685664</v>
      </c>
      <c r="M18" s="56"/>
      <c r="N18" s="56"/>
      <c r="O18" s="56"/>
      <c r="P18" s="56"/>
      <c r="Q18" s="56"/>
      <c r="R18" s="56"/>
      <c r="S18" s="56"/>
      <c r="T18" s="56"/>
      <c r="U18" s="56"/>
      <c r="V18" s="56"/>
    </row>
    <row r="19" spans="2:22" ht="18.600000000000001" x14ac:dyDescent="0.3">
      <c r="B19" s="13" t="s">
        <v>11</v>
      </c>
      <c r="C19" s="21">
        <f>F10</f>
        <v>7.0000000000000007E-2</v>
      </c>
      <c r="D19" s="40">
        <v>6.2E-2</v>
      </c>
      <c r="E19" s="21">
        <f t="shared" si="0"/>
        <v>-8.0000000000000071E-3</v>
      </c>
      <c r="F19" s="21">
        <f>(D19-C19)/C19</f>
        <v>-0.11428571428571438</v>
      </c>
      <c r="H19" s="29" t="s">
        <v>27</v>
      </c>
      <c r="I19" s="41">
        <f>SUM(I15:I18)</f>
        <v>1996601.5299999998</v>
      </c>
      <c r="J19" s="41">
        <f>SUM(J15:J18)</f>
        <v>1760197.67</v>
      </c>
      <c r="K19" s="31">
        <f>J19/I19-1</f>
        <v>-0.11840312473365677</v>
      </c>
      <c r="M19" s="56"/>
      <c r="N19" s="56"/>
      <c r="O19" s="56"/>
      <c r="P19" s="56"/>
      <c r="Q19" s="56"/>
      <c r="R19" s="56"/>
      <c r="S19" s="56"/>
      <c r="T19" s="56"/>
      <c r="U19" s="56"/>
      <c r="V19" s="56"/>
    </row>
    <row r="20" spans="2:22" ht="18.600000000000001" x14ac:dyDescent="0.3">
      <c r="B20" s="36" t="s">
        <v>13</v>
      </c>
      <c r="C20" s="42">
        <f>F11</f>
        <v>2565</v>
      </c>
      <c r="D20" s="43">
        <v>4076</v>
      </c>
      <c r="E20" s="42">
        <f t="shared" si="0"/>
        <v>1511</v>
      </c>
      <c r="F20" s="39">
        <f>(D20-C20)/C20</f>
        <v>0.58908382066276799</v>
      </c>
      <c r="K20" s="44"/>
      <c r="M20" s="56"/>
      <c r="N20" s="56"/>
      <c r="O20" s="56"/>
      <c r="P20" s="56"/>
      <c r="Q20" s="56"/>
      <c r="R20" s="56"/>
      <c r="S20" s="56"/>
      <c r="T20" s="56"/>
      <c r="U20" s="56"/>
      <c r="V20" s="56"/>
    </row>
    <row r="21" spans="2:22" ht="20.399999999999999" x14ac:dyDescent="0.3">
      <c r="B21" s="13" t="s">
        <v>14</v>
      </c>
      <c r="C21" s="25">
        <f>F12*C$5</f>
        <v>377.41935483870969</v>
      </c>
      <c r="D21" s="45">
        <v>264</v>
      </c>
      <c r="E21" s="25">
        <f t="shared" si="0"/>
        <v>-113.41935483870969</v>
      </c>
      <c r="F21" s="21">
        <f>E21/C21</f>
        <v>-0.30051282051282052</v>
      </c>
      <c r="H21" s="59" t="s">
        <v>28</v>
      </c>
      <c r="I21" s="59"/>
      <c r="J21" s="59"/>
      <c r="K21" s="59"/>
      <c r="M21" s="56"/>
      <c r="N21" s="56"/>
      <c r="O21" s="56"/>
      <c r="P21" s="56"/>
      <c r="Q21" s="56"/>
      <c r="R21" s="56"/>
      <c r="S21" s="56"/>
      <c r="T21" s="56"/>
      <c r="U21" s="56"/>
      <c r="V21" s="56"/>
    </row>
    <row r="22" spans="2:22" ht="18.600000000000001" x14ac:dyDescent="0.3">
      <c r="B22" s="36" t="s">
        <v>15</v>
      </c>
      <c r="C22" s="46">
        <f>F13*C$5</f>
        <v>754.83870967741939</v>
      </c>
      <c r="D22" s="47">
        <v>432</v>
      </c>
      <c r="E22" s="46">
        <f t="shared" si="0"/>
        <v>-322.83870967741939</v>
      </c>
      <c r="F22" s="39">
        <f>E22/C22</f>
        <v>-0.4276923076923077</v>
      </c>
      <c r="M22" s="56"/>
      <c r="N22" s="56"/>
      <c r="O22" s="56"/>
      <c r="P22" s="56"/>
      <c r="Q22" s="56"/>
      <c r="R22" s="56"/>
      <c r="S22" s="56"/>
      <c r="T22" s="56"/>
      <c r="U22" s="56"/>
      <c r="V22" s="56"/>
    </row>
    <row r="23" spans="2:22" ht="18.600000000000001" x14ac:dyDescent="0.3">
      <c r="B23" s="13" t="s">
        <v>16</v>
      </c>
      <c r="C23" s="25">
        <f>F14*C$5</f>
        <v>5526.4516129032254</v>
      </c>
      <c r="D23" s="45">
        <v>4257</v>
      </c>
      <c r="E23" s="25">
        <f t="shared" si="0"/>
        <v>-1269.4516129032254</v>
      </c>
      <c r="F23" s="21">
        <f>E23/C23</f>
        <v>-0.22970464627597473</v>
      </c>
      <c r="H23" s="48">
        <f ca="1">TODAY()</f>
        <v>46316</v>
      </c>
      <c r="I23" s="9">
        <v>2025</v>
      </c>
      <c r="J23" s="9">
        <v>2026</v>
      </c>
      <c r="M23" s="56"/>
      <c r="N23" s="56"/>
      <c r="O23" s="56"/>
      <c r="P23" s="56"/>
      <c r="Q23" s="56"/>
      <c r="R23" s="56"/>
      <c r="S23" s="56"/>
      <c r="T23" s="56"/>
      <c r="U23" s="56"/>
      <c r="V23" s="56"/>
    </row>
    <row r="24" spans="2:22" ht="18.600000000000001" x14ac:dyDescent="0.3">
      <c r="B24" s="7"/>
      <c r="C24" s="7"/>
      <c r="D24" s="7"/>
      <c r="E24" s="7"/>
      <c r="F24" s="7"/>
      <c r="H24" s="29" t="s">
        <v>29</v>
      </c>
      <c r="I24" s="49">
        <v>1655</v>
      </c>
      <c r="J24" s="49">
        <v>1469</v>
      </c>
      <c r="M24" s="56"/>
      <c r="N24" s="56"/>
      <c r="O24" s="56"/>
      <c r="P24" s="56"/>
      <c r="Q24" s="56"/>
      <c r="R24" s="56"/>
      <c r="S24" s="56"/>
      <c r="T24" s="56"/>
      <c r="U24" s="56"/>
      <c r="V24" s="56"/>
    </row>
    <row r="25" spans="2:22" ht="18.600000000000001" x14ac:dyDescent="0.3">
      <c r="B25" s="50" t="s">
        <v>30</v>
      </c>
      <c r="C25" s="51">
        <f>(D17/C$5)*C$4</f>
        <v>2729077.25</v>
      </c>
      <c r="D25" s="7"/>
      <c r="E25" s="50" t="s">
        <v>31</v>
      </c>
      <c r="F25" s="31">
        <f>C25/C8</f>
        <v>0.90969241666666667</v>
      </c>
      <c r="H25" s="11" t="s">
        <v>32</v>
      </c>
      <c r="I25" s="12">
        <v>2597</v>
      </c>
      <c r="J25" s="52">
        <v>3312</v>
      </c>
      <c r="M25" s="56"/>
      <c r="N25" s="56"/>
      <c r="O25" s="56"/>
      <c r="P25" s="56"/>
      <c r="Q25" s="56"/>
      <c r="R25" s="56"/>
      <c r="S25" s="56"/>
      <c r="T25" s="56"/>
      <c r="U25" s="56"/>
      <c r="V25" s="56"/>
    </row>
    <row r="26" spans="2:22" ht="18.600000000000001" x14ac:dyDescent="0.3">
      <c r="H26" s="29" t="s">
        <v>33</v>
      </c>
      <c r="I26" s="49">
        <v>297</v>
      </c>
      <c r="J26" s="49">
        <v>412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</row>
    <row r="27" spans="2:22" ht="18.600000000000001" x14ac:dyDescent="0.3">
      <c r="H27" s="11" t="s">
        <v>27</v>
      </c>
      <c r="I27" s="11">
        <f>SUM(I24:I26)</f>
        <v>4549</v>
      </c>
      <c r="J27" s="11">
        <f>SUM(J24:J26)</f>
        <v>5193</v>
      </c>
      <c r="M27" s="56"/>
      <c r="N27" s="56"/>
      <c r="O27" s="56"/>
      <c r="P27" s="56"/>
      <c r="Q27" s="56"/>
      <c r="R27" s="56"/>
      <c r="S27" s="56"/>
      <c r="T27" s="56"/>
      <c r="U27" s="56"/>
      <c r="V27" s="56"/>
    </row>
    <row r="28" spans="2:22" x14ac:dyDescent="0.3">
      <c r="M28" s="56"/>
      <c r="N28" s="56"/>
      <c r="O28" s="56"/>
      <c r="P28" s="56"/>
      <c r="Q28" s="56"/>
      <c r="R28" s="56"/>
      <c r="S28" s="56"/>
      <c r="T28" s="56"/>
      <c r="U28" s="56"/>
      <c r="V28" s="56"/>
    </row>
    <row r="29" spans="2:22" x14ac:dyDescent="0.3">
      <c r="M29" s="56"/>
      <c r="N29" s="56"/>
      <c r="O29" s="56"/>
      <c r="P29" s="56"/>
      <c r="Q29" s="56"/>
      <c r="R29" s="56"/>
      <c r="S29" s="56"/>
      <c r="T29" s="56"/>
      <c r="U29" s="56"/>
      <c r="V29" s="56"/>
    </row>
    <row r="30" spans="2:22" x14ac:dyDescent="0.3">
      <c r="M30" s="56"/>
      <c r="N30" s="56"/>
      <c r="O30" s="56"/>
      <c r="P30" s="56"/>
      <c r="Q30" s="56"/>
      <c r="R30" s="56"/>
      <c r="S30" s="56"/>
      <c r="T30" s="56"/>
      <c r="U30" s="56"/>
      <c r="V30" s="56"/>
    </row>
    <row r="31" spans="2:22" x14ac:dyDescent="0.3">
      <c r="M31" s="56"/>
      <c r="N31" s="56"/>
      <c r="O31" s="56"/>
      <c r="P31" s="56"/>
      <c r="Q31" s="56"/>
      <c r="R31" s="56"/>
      <c r="S31" s="56"/>
      <c r="T31" s="56"/>
      <c r="U31" s="56"/>
      <c r="V31" s="56"/>
    </row>
    <row r="32" spans="2:22" x14ac:dyDescent="0.3">
      <c r="M32" s="56"/>
      <c r="N32" s="56"/>
      <c r="O32" s="56"/>
      <c r="P32" s="56"/>
      <c r="Q32" s="56"/>
      <c r="R32" s="56"/>
      <c r="S32" s="56"/>
      <c r="T32" s="56"/>
      <c r="U32" s="56"/>
      <c r="V32" s="56"/>
    </row>
    <row r="33" spans="2:6" x14ac:dyDescent="0.3">
      <c r="B33" s="53"/>
      <c r="C33" s="54"/>
      <c r="E33" s="53"/>
      <c r="F33" s="55"/>
    </row>
  </sheetData>
  <mergeCells count="9">
    <mergeCell ref="M2:V32"/>
    <mergeCell ref="I12:J12"/>
    <mergeCell ref="H21:K21"/>
    <mergeCell ref="B2:E2"/>
    <mergeCell ref="H2:K2"/>
    <mergeCell ref="I6:J6"/>
    <mergeCell ref="B7:C7"/>
    <mergeCell ref="E7:F7"/>
    <mergeCell ref="I9:J9"/>
  </mergeCells>
  <conditionalFormatting sqref="D17">
    <cfRule type="cellIs" dxfId="13" priority="13" operator="lessThan">
      <formula>$C$17</formula>
    </cfRule>
    <cfRule type="cellIs" dxfId="12" priority="14" operator="greaterThan">
      <formula>$C$17</formula>
    </cfRule>
  </conditionalFormatting>
  <conditionalFormatting sqref="D18">
    <cfRule type="cellIs" dxfId="11" priority="11" operator="lessThan">
      <formula>$C$18</formula>
    </cfRule>
    <cfRule type="cellIs" dxfId="10" priority="12" operator="greaterThan">
      <formula>$C$18</formula>
    </cfRule>
  </conditionalFormatting>
  <conditionalFormatting sqref="D19">
    <cfRule type="cellIs" dxfId="9" priority="9" operator="lessThan">
      <formula>$C$19</formula>
    </cfRule>
    <cfRule type="cellIs" dxfId="8" priority="10" operator="greaterThan">
      <formula>$C$19</formula>
    </cfRule>
  </conditionalFormatting>
  <conditionalFormatting sqref="D20">
    <cfRule type="cellIs" dxfId="7" priority="7" operator="lessThan">
      <formula>$C$20</formula>
    </cfRule>
    <cfRule type="cellIs" dxfId="6" priority="8" operator="greaterThan">
      <formula>$C$20</formula>
    </cfRule>
  </conditionalFormatting>
  <conditionalFormatting sqref="D21">
    <cfRule type="cellIs" dxfId="5" priority="5" operator="lessThan">
      <formula>$C$21</formula>
    </cfRule>
    <cfRule type="cellIs" dxfId="4" priority="6" operator="greaterThan">
      <formula>$C$21</formula>
    </cfRule>
  </conditionalFormatting>
  <conditionalFormatting sqref="D22">
    <cfRule type="cellIs" dxfId="3" priority="3" operator="lessThan">
      <formula>$C$22</formula>
    </cfRule>
    <cfRule type="cellIs" dxfId="2" priority="4" operator="greaterThan">
      <formula>$C$22</formula>
    </cfRule>
  </conditionalFormatting>
  <conditionalFormatting sqref="D23">
    <cfRule type="cellIs" dxfId="1" priority="1" operator="lessThan">
      <formula>$C$23</formula>
    </cfRule>
    <cfRule type="cellIs" dxfId="0" priority="2" operator="greaterThan">
      <formula>$C$23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magaza.mudur</dc:creator>
  <cp:lastModifiedBy>Mustafa Berat Dağıtmaç</cp:lastModifiedBy>
  <dcterms:created xsi:type="dcterms:W3CDTF">2015-06-05T18:19:34Z</dcterms:created>
  <dcterms:modified xsi:type="dcterms:W3CDTF">2026-10-21T07:07:07Z</dcterms:modified>
</cp:coreProperties>
</file>