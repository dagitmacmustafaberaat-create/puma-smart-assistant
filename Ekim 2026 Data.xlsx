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A5DF1465-56FC-4298-8CCC-81DEA083AB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<sst xmlns="http://schemas.openxmlformats.org/spreadsheetml/2006/main" count="55" uniqueCount="34">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</sst>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topLeftCell="A3" zoomScale="50" zoomScaleNormal="50" workbookViewId="0">
      <selection activeCell="D31" sqref="D31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27</v>
      </c>
      <c r="D5" s="7"/>
      <c r="E5" s="7"/>
      <c r="F5" s="7"/>
      <c r="H5" s="13" t="s">
        <v>5</v>
      </c>
      <c r="I5" s="14">
        <v>1098445</v>
      </c>
      <c r="J5" s="14">
        <v>935778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-0.14808843410457506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1392075</v>
      </c>
      <c r="J8" s="14">
        <v>1331375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-4.3603972487114562E-2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74676</v>
      </c>
      <c r="J11" s="14">
        <v>79877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6.9647544056992805E-2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1698444</v>
      </c>
      <c r="J15" s="30">
        <v>1643255</v>
      </c>
      <c r="K15" s="31">
        <f>J15/I15-1</f>
        <v>-3.2493859085139132E-2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431173</v>
      </c>
      <c r="J16" s="34">
        <v>376822</v>
      </c>
      <c r="K16" s="31">
        <f>J16/I16-1</f>
        <v>-0.12605381134718552</v>
      </c>
    </row>
    <row r="17" spans="2:11" ht="18.600000000000001" x14ac:dyDescent="0.3">
      <c r="B17" s="13" t="s">
        <v>5</v>
      </c>
      <c r="C17" s="16">
        <f>F8*C$5</f>
        <v>2612903.2258064514</v>
      </c>
      <c r="D17" s="35">
        <v>2247354</v>
      </c>
      <c r="E17" s="16">
        <f t="shared" ref="E17:E23" si="0">D17-C17</f>
        <v>-365549.2258064514</v>
      </c>
      <c r="F17" s="21">
        <f>E17/C17</f>
        <v>-0.13990155555555547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436489</v>
      </c>
      <c r="J18" s="34">
        <v>227443</v>
      </c>
      <c r="K18" s="31">
        <f>J18/I18-1</f>
        <v>-0.47892615850571263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6.2899999999999998E-2</v>
      </c>
      <c r="E19" s="21">
        <f t="shared" si="0"/>
        <v>-7.1000000000000091E-3</v>
      </c>
      <c r="F19" s="21">
        <f>(D19-C19)/C19</f>
        <v>-0.10142857142857155</v>
      </c>
      <c r="H19" s="29" t="s">
        <v>27</v>
      </c>
      <c r="I19" s="41">
        <f>SUM(I15:I18)</f>
        <v>2566106</v>
      </c>
      <c r="J19" s="41">
        <f>SUM(J15:J18)</f>
        <v>2247520</v>
      </c>
      <c r="K19" s="31">
        <f>J19/I19-1</f>
        <v>-0.12415153543929991</v>
      </c>
    </row>
    <row r="20" spans="2:11" ht="18.600000000000001" x14ac:dyDescent="0.3">
      <c r="B20" s="36" t="s">
        <v>13</v>
      </c>
      <c r="C20" s="42">
        <f>F11</f>
        <v>2565</v>
      </c>
      <c r="D20" s="43">
        <v>4042</v>
      </c>
      <c r="E20" s="42">
        <f t="shared" si="0"/>
        <v>1477</v>
      </c>
      <c r="F20" s="39">
        <f>(D20-C20)/C20</f>
        <v>0.57582846003898636</v>
      </c>
      <c r="K20" s="44"/>
    </row>
    <row r="21" spans="2:11" ht="20.399999999999999" x14ac:dyDescent="0.3">
      <c r="B21" s="13" t="s">
        <v>14</v>
      </c>
      <c r="C21" s="25">
        <f>F12*C$5</f>
        <v>509.51612903225805</v>
      </c>
      <c r="D21" s="45">
        <v>339</v>
      </c>
      <c r="E21" s="25">
        <f t="shared" si="0"/>
        <v>-170.51612903225805</v>
      </c>
      <c r="F21" s="21">
        <f>E21/C21</f>
        <v>-0.33466286799620132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1019.0322580645161</v>
      </c>
      <c r="D22" s="47">
        <v>556</v>
      </c>
      <c r="E22" s="46">
        <f t="shared" si="0"/>
        <v>-463.0322580645161</v>
      </c>
      <c r="F22" s="39">
        <f>E22/C22</f>
        <v>-0.45438429882874326</v>
      </c>
    </row>
    <row r="23" spans="2:11" ht="18.600000000000001" x14ac:dyDescent="0.3">
      <c r="B23" s="13" t="s">
        <v>16</v>
      </c>
      <c r="C23" s="25">
        <f>F14*C$5</f>
        <v>7460.7096774193542</v>
      </c>
      <c r="D23" s="45">
        <v>5390</v>
      </c>
      <c r="E23" s="25">
        <f t="shared" si="0"/>
        <v>-2070.7096774193542</v>
      </c>
      <c r="F23" s="21">
        <f>E23/C23</f>
        <v>-0.27754862029902883</v>
      </c>
      <c r="H23" s="48">
        <f ca="1">TODAY()</f>
        <v>46323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1591</v>
      </c>
      <c r="J24" s="49">
        <v>1423</v>
      </c>
    </row>
    <row r="25" spans="2:11" ht="18.600000000000001" x14ac:dyDescent="0.3">
      <c r="B25" s="50" t="s">
        <v>30</v>
      </c>
      <c r="C25" s="51">
        <f>(D17/C$5)*C$4</f>
        <v>2580295.333333333</v>
      </c>
      <c r="D25" s="7"/>
      <c r="E25" s="50" t="s">
        <v>31</v>
      </c>
      <c r="F25" s="31">
        <f>C25/C8</f>
        <v>0.86009844444444439</v>
      </c>
      <c r="H25" s="11" t="s">
        <v>32</v>
      </c>
      <c r="I25" s="12">
        <v>2455</v>
      </c>
      <c r="J25" s="52">
        <v>3118</v>
      </c>
    </row>
    <row r="26" spans="2:11" ht="18.600000000000001" x14ac:dyDescent="0.3">
      <c r="H26" s="29" t="s">
        <v>33</v>
      </c>
      <c r="I26" s="49">
        <v>279</v>
      </c>
      <c r="J26" s="49">
        <v>400</v>
      </c>
    </row>
    <row r="27" spans="2:11" ht="18.600000000000001" x14ac:dyDescent="0.3">
      <c r="H27" s="11" t="s">
        <v>27</v>
      </c>
      <c r="I27" s="11">
        <f>SUM(I24:I26)</f>
        <v>4325</v>
      </c>
      <c r="J27" s="11">
        <f>SUM(J24:J26)</f>
        <v>4941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2026-10-28T07:15:09Z</dcterms:modified>
</cp:coreProperties>
</file>